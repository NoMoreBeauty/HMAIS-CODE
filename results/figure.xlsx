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jh/Desktop/硕士/论文/Hmais/nips/figures/"/>
    </mc:Choice>
  </mc:AlternateContent>
  <xr:revisionPtr revIDLastSave="0" documentId="13_ncr:1_{E4D1A820-5393-8141-8540-C41D791DD167}" xr6:coauthVersionLast="47" xr6:coauthVersionMax="47" xr10:uidLastSave="{00000000-0000-0000-0000-000000000000}"/>
  <bookViews>
    <workbookView xWindow="-4580" yWindow="-21100" windowWidth="38400" windowHeight="21100" xr2:uid="{F4B73886-9D89-D741-8870-53A5378A0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7" i="1" l="1"/>
  <c r="AZ27" i="1"/>
  <c r="AW27" i="1"/>
  <c r="AV27" i="1"/>
  <c r="AS27" i="1"/>
  <c r="AR27" i="1"/>
  <c r="AO27" i="1"/>
  <c r="AN27" i="1"/>
  <c r="BA26" i="1"/>
  <c r="AZ26" i="1"/>
  <c r="AW26" i="1"/>
  <c r="AV26" i="1"/>
  <c r="AS26" i="1"/>
  <c r="AR26" i="1"/>
  <c r="AO26" i="1"/>
  <c r="AN26" i="1"/>
  <c r="BA25" i="1"/>
  <c r="AZ25" i="1"/>
  <c r="AW25" i="1"/>
  <c r="AV25" i="1"/>
  <c r="AS25" i="1"/>
  <c r="AR25" i="1"/>
  <c r="AO25" i="1"/>
  <c r="AN25" i="1"/>
  <c r="BA24" i="1"/>
  <c r="AZ24" i="1"/>
  <c r="AW24" i="1"/>
  <c r="AV24" i="1"/>
  <c r="AS24" i="1"/>
  <c r="AR24" i="1"/>
  <c r="AO24" i="1"/>
  <c r="AN24" i="1"/>
  <c r="BA23" i="1"/>
  <c r="AZ23" i="1"/>
  <c r="AW23" i="1"/>
  <c r="AV23" i="1"/>
  <c r="AS23" i="1"/>
  <c r="AR23" i="1"/>
  <c r="AO23" i="1"/>
  <c r="AN23" i="1"/>
  <c r="BA22" i="1"/>
  <c r="AZ22" i="1"/>
  <c r="AW22" i="1"/>
  <c r="AV22" i="1"/>
  <c r="AS22" i="1"/>
  <c r="AR22" i="1"/>
  <c r="AO22" i="1"/>
  <c r="AN22" i="1"/>
  <c r="BA21" i="1"/>
  <c r="AZ21" i="1"/>
  <c r="AW21" i="1"/>
  <c r="AV21" i="1"/>
  <c r="AS21" i="1"/>
  <c r="AR21" i="1"/>
  <c r="AO21" i="1"/>
  <c r="AN21" i="1"/>
  <c r="BA20" i="1"/>
  <c r="AZ20" i="1"/>
  <c r="AW20" i="1"/>
  <c r="AV20" i="1"/>
  <c r="AS20" i="1"/>
  <c r="AR20" i="1"/>
  <c r="AO20" i="1"/>
  <c r="AN20" i="1"/>
  <c r="BA19" i="1"/>
  <c r="AZ19" i="1"/>
  <c r="AW19" i="1"/>
  <c r="AV19" i="1"/>
  <c r="AS19" i="1"/>
  <c r="AR19" i="1"/>
  <c r="AO19" i="1"/>
  <c r="AN19" i="1"/>
  <c r="BA18" i="1"/>
  <c r="AZ18" i="1"/>
  <c r="AW18" i="1"/>
  <c r="AV18" i="1"/>
  <c r="AS18" i="1"/>
  <c r="AR18" i="1"/>
  <c r="AO18" i="1"/>
  <c r="AN18" i="1"/>
  <c r="BA17" i="1"/>
  <c r="AZ17" i="1"/>
  <c r="AW17" i="1"/>
  <c r="AV17" i="1"/>
  <c r="AS17" i="1"/>
  <c r="AR17" i="1"/>
  <c r="AO17" i="1"/>
  <c r="AN17" i="1"/>
  <c r="BA16" i="1"/>
  <c r="AZ16" i="1"/>
  <c r="AW16" i="1"/>
  <c r="AV16" i="1"/>
  <c r="AS16" i="1"/>
  <c r="AR16" i="1"/>
  <c r="AO16" i="1"/>
  <c r="AN16" i="1"/>
  <c r="BA15" i="1"/>
  <c r="AZ15" i="1"/>
  <c r="AW15" i="1"/>
  <c r="AV15" i="1"/>
  <c r="AS15" i="1"/>
  <c r="AR15" i="1"/>
  <c r="AO15" i="1"/>
  <c r="AN15" i="1"/>
  <c r="BA14" i="1"/>
  <c r="AZ14" i="1"/>
  <c r="AW14" i="1"/>
  <c r="AV14" i="1"/>
  <c r="AS14" i="1"/>
  <c r="AR14" i="1"/>
  <c r="AO14" i="1"/>
  <c r="AN14" i="1"/>
</calcChain>
</file>

<file path=xl/sharedStrings.xml><?xml version="1.0" encoding="utf-8"?>
<sst xmlns="http://schemas.openxmlformats.org/spreadsheetml/2006/main" count="137" uniqueCount="72">
  <si>
    <t>OPTC (3)</t>
    <phoneticPr fontId="1" type="noConversion"/>
  </si>
  <si>
    <t>Aurora (3)</t>
    <phoneticPr fontId="1" type="noConversion"/>
  </si>
  <si>
    <t>Trace (2)</t>
    <phoneticPr fontId="1" type="noConversion"/>
  </si>
  <si>
    <t>Theia (2)</t>
    <phoneticPr fontId="1" type="noConversion"/>
  </si>
  <si>
    <t>Cadets (4)</t>
    <phoneticPr fontId="1" type="noConversion"/>
  </si>
  <si>
    <t>Nodoze</t>
    <phoneticPr fontId="1" type="noConversion"/>
  </si>
  <si>
    <t>DepImpact</t>
    <phoneticPr fontId="1" type="noConversion"/>
  </si>
  <si>
    <t>Single-LLM</t>
    <phoneticPr fontId="1" type="noConversion"/>
  </si>
  <si>
    <t>Hmais</t>
    <phoneticPr fontId="1" type="noConversion"/>
  </si>
  <si>
    <t>Time</t>
    <phoneticPr fontId="1" type="noConversion"/>
  </si>
  <si>
    <t>Token</t>
    <phoneticPr fontId="1" type="noConversion"/>
  </si>
  <si>
    <t>-</t>
    <phoneticPr fontId="1" type="noConversion"/>
  </si>
  <si>
    <t>N.</t>
    <phoneticPr fontId="1" type="noConversion"/>
  </si>
  <si>
    <t>D.</t>
    <phoneticPr fontId="1" type="noConversion"/>
  </si>
  <si>
    <t>S.</t>
    <phoneticPr fontId="1" type="noConversion"/>
  </si>
  <si>
    <t>M.</t>
    <phoneticPr fontId="1" type="noConversion"/>
  </si>
  <si>
    <t>Scenario</t>
  </si>
  <si>
    <t>NoDoze</t>
  </si>
  <si>
    <t>DepImpact</t>
  </si>
  <si>
    <t>Single-Agent</t>
  </si>
  <si>
    <t>Rec.</t>
  </si>
  <si>
    <t>Prec.</t>
  </si>
  <si>
    <t>|G|</t>
  </si>
  <si>
    <t>OpTC C1</t>
  </si>
  <si>
    <t>OpTC C2</t>
  </si>
  <si>
    <t>OpTC C3</t>
  </si>
  <si>
    <t>Aurora C1</t>
  </si>
  <si>
    <t>Aurora C2</t>
  </si>
  <si>
    <t>Aurora C3</t>
  </si>
  <si>
    <t>Trace C1</t>
  </si>
  <si>
    <t>Trace C2</t>
  </si>
  <si>
    <t>Theia C1</t>
  </si>
  <si>
    <t>Theia C2</t>
  </si>
  <si>
    <t>Cadets C1</t>
  </si>
  <si>
    <t>Cadets C2</t>
  </si>
  <si>
    <t>Cadets C3</t>
  </si>
  <si>
    <t>Cadets C4</t>
  </si>
  <si>
    <t>GT</t>
  </si>
  <si>
    <t>TP</t>
  </si>
  <si>
    <t>FP</t>
  </si>
  <si>
    <t>Tokens</t>
  </si>
  <si>
    <t>Qwen3-Coder-30B</t>
  </si>
  <si>
    <t>GPT-5.2</t>
  </si>
  <si>
    <t>305K</t>
  </si>
  <si>
    <t>Qwen3-Coder-480B</t>
  </si>
  <si>
    <t>195K</t>
  </si>
  <si>
    <t>DeepSeek-R1</t>
  </si>
  <si>
    <t>198K</t>
  </si>
  <si>
    <t>GPT-5.2-Codex</t>
  </si>
  <si>
    <t>Qwen3.5-122B</t>
  </si>
  <si>
    <t>Qwen-Max</t>
  </si>
  <si>
    <t>175K</t>
  </si>
  <si>
    <t>DeepSeek-V3</t>
  </si>
  <si>
    <t>118K</t>
  </si>
  <si>
    <t>208K</t>
  </si>
  <si>
    <t>164K</t>
  </si>
  <si>
    <t>Query</t>
    <phoneticPr fontId="1" type="noConversion"/>
  </si>
  <si>
    <t xml:space="preserve">Other </t>
    <phoneticPr fontId="1" type="noConversion"/>
  </si>
  <si>
    <t>w/o Adversarial Reasoning</t>
  </si>
  <si>
    <t>128K</t>
  </si>
  <si>
    <t>w/o Fine-grained Context</t>
  </si>
  <si>
    <t>135K</t>
  </si>
  <si>
    <t>w/o Coarse-grained Context</t>
  </si>
  <si>
    <t>285K</t>
  </si>
  <si>
    <t>w/o Count-First Protocol</t>
  </si>
  <si>
    <t>248K</t>
  </si>
  <si>
    <t>w/o CTI Reports</t>
  </si>
  <si>
    <t>168K</t>
  </si>
  <si>
    <t>w/o MITRE ATT&amp;CK</t>
  </si>
  <si>
    <t>158K</t>
  </si>
  <si>
    <t>w/o Log Schema</t>
  </si>
  <si>
    <t>155K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</si>
</sst>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76D50"/>
      <color rgb="FFF3A361"/>
      <color rgb="FF297170"/>
      <color rgb="FFE5ABA0"/>
      <color rgb="FFAEA5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64833180416901"/>
          <c:y val="0.15264135926947658"/>
          <c:w val="0.73861066434059741"/>
          <c:h val="0.635255867989831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Sheet1!$I$6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rgbClr val="29717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Sheet1!$J$5:$M$5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Sheet1!$J$6:$M$6</c:f>
              <c:numCache>
                <c:formatCode>General</c:formatCode>
                <c:ptCount val="4"/>
                <c:pt idx="0">
                  <c:v>68</c:v>
                </c:pt>
                <c:pt idx="1">
                  <c:v>148</c:v>
                </c:pt>
                <c:pt idx="2">
                  <c:v>1482</c:v>
                </c:pt>
                <c:pt idx="3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7-B948-B255-0DEF7D6CF9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axId val="542182912"/>
        <c:axId val="542185184"/>
      </c:barChart>
      <c:lineChart>
        <c:grouping val="standard"/>
        <c:varyColors val="0"/>
        <c:ser>
          <c:idx val="1"/>
          <c:order val="1"/>
          <c:tx>
            <c:strRef>
              <c:f>Sheet1!$I$7</c:f>
              <c:strCache>
                <c:ptCount val="1"/>
                <c:pt idx="0">
                  <c:v>Token</c:v>
                </c:pt>
              </c:strCache>
            </c:strRef>
          </c:tx>
          <c:spPr>
            <a:ln w="19050" cap="rnd">
              <a:solidFill>
                <a:srgbClr val="F3A36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3A361"/>
              </a:solidFill>
              <a:ln w="9525">
                <a:solidFill>
                  <a:srgbClr val="F3A36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B6-0945-ABE6-E4D547693FF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B6-0945-ABE6-E4D547693FF7}"/>
                </c:ext>
              </c:extLst>
            </c:dLbl>
            <c:dLbl>
              <c:idx val="2"/>
              <c:layout>
                <c:manualLayout>
                  <c:x val="-4.9250622181018361E-2"/>
                  <c:y val="-3.80342582771117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rgbClr val="F3A361"/>
                        </a:solidFill>
                        <a:latin typeface="High Tower Text" panose="02040502050506030303" pitchFamily="18" charset="0"/>
                        <a:ea typeface="+mn-ea"/>
                        <a:cs typeface="+mn-cs"/>
                      </a:defRPr>
                    </a:pPr>
                    <a:fld id="{42B2049E-A38E-D742-A7E3-DE02EF8855CF}" type="VALUE">
                      <a:rPr lang="en-US" altLang="zh-CN" sz="1400">
                        <a:solidFill>
                          <a:srgbClr val="F3A361"/>
                        </a:solidFill>
                      </a:rPr>
                      <a:pPr>
                        <a:defRPr sz="1400">
                          <a:solidFill>
                            <a:srgbClr val="F3A361"/>
                          </a:solidFill>
                          <a:latin typeface="High Tower Text" panose="02040502050506030303" pitchFamily="18" charset="0"/>
                        </a:defRPr>
                      </a:pPr>
                      <a:t>[值]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F3A361"/>
                      </a:solidFill>
                      <a:latin typeface="High Tower Text" panose="02040502050506030303" pitchFamily="18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3B6-0945-ABE6-E4D547693FF7}"/>
                </c:ext>
              </c:extLst>
            </c:dLbl>
            <c:dLbl>
              <c:idx val="3"/>
              <c:layout>
                <c:manualLayout>
                  <c:x val="-4.5906243842625552E-2"/>
                  <c:y val="-4.755302567105577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F3A361"/>
                      </a:solidFill>
                      <a:latin typeface="High Tower Text" panose="02040502050506030303" pitchFamily="18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B6-0945-ABE6-E4D547693F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Sheet1!$J$5:$M$5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Sheet1!$J$7:$M$7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405</c:v>
                </c:pt>
                <c:pt idx="3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A7-B948-B255-0DEF7D6CF9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3619232"/>
        <c:axId val="223616096"/>
      </c:lineChart>
      <c:catAx>
        <c:axId val="54218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S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10576798071628588"/>
              <c:y val="3.51475675846800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542185184"/>
        <c:crosses val="autoZero"/>
        <c:auto val="1"/>
        <c:lblAlgn val="ctr"/>
        <c:lblOffset val="100"/>
        <c:noMultiLvlLbl val="0"/>
      </c:catAx>
      <c:valAx>
        <c:axId val="542185184"/>
        <c:scaling>
          <c:orientation val="minMax"/>
          <c:max val="180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K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8370421523889493"/>
              <c:y val="3.597509753294475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igh Tower Text" panose="02040502050506030303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542182912"/>
        <c:crosses val="autoZero"/>
        <c:crossBetween val="between"/>
        <c:majorUnit val="600"/>
      </c:valAx>
      <c:valAx>
        <c:axId val="223616096"/>
        <c:scaling>
          <c:orientation val="minMax"/>
          <c:max val="6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223619232"/>
        <c:crosses val="max"/>
        <c:crossBetween val="between"/>
        <c:majorUnit val="200"/>
        <c:minorUnit val="100"/>
      </c:valAx>
      <c:catAx>
        <c:axId val="223619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3616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598791759691227"/>
          <c:y val="0.14739714590516245"/>
          <c:w val="0.26990895690853706"/>
          <c:h val="0.212171978981917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High Tower Text" panose="02040502050506030303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65881876705709"/>
          <c:y val="0.15686495375219867"/>
          <c:w val="0.74630469698750346"/>
          <c:h val="0.630202483964353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Sheet1!$I$10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rgbClr val="29717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Sheet1!$J$9:$M$9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Sheet1!$J$10:$M$10</c:f>
              <c:numCache>
                <c:formatCode>General</c:formatCode>
                <c:ptCount val="4"/>
                <c:pt idx="0">
                  <c:v>18</c:v>
                </c:pt>
                <c:pt idx="1">
                  <c:v>42</c:v>
                </c:pt>
                <c:pt idx="2">
                  <c:v>750</c:v>
                </c:pt>
                <c:pt idx="3">
                  <c:v>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A-6A42-978C-9E34C15E24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axId val="1083597664"/>
        <c:axId val="1083599392"/>
      </c:barChart>
      <c:lineChart>
        <c:grouping val="standard"/>
        <c:varyColors val="0"/>
        <c:ser>
          <c:idx val="1"/>
          <c:order val="1"/>
          <c:tx>
            <c:strRef>
              <c:f>Sheet1!$I$11</c:f>
              <c:strCache>
                <c:ptCount val="1"/>
                <c:pt idx="0">
                  <c:v>Token</c:v>
                </c:pt>
              </c:strCache>
            </c:strRef>
          </c:tx>
          <c:spPr>
            <a:ln w="19050" cap="rnd">
              <a:solidFill>
                <a:srgbClr val="F3A36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3A361"/>
              </a:solidFill>
              <a:ln w="9525">
                <a:solidFill>
                  <a:srgbClr val="F3A36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77-BE43-BCD1-BF6FE854892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77-BE43-BCD1-BF6FE854892D}"/>
                </c:ext>
              </c:extLst>
            </c:dLbl>
            <c:dLbl>
              <c:idx val="2"/>
              <c:layout>
                <c:manualLayout>
                  <c:x val="-5.3320319153117628E-2"/>
                  <c:y val="5.54146305482307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77-BE43-BCD1-BF6FE854892D}"/>
                </c:ext>
              </c:extLst>
            </c:dLbl>
            <c:dLbl>
              <c:idx val="3"/>
              <c:layout>
                <c:manualLayout>
                  <c:x val="-4.3762085327287703E-2"/>
                  <c:y val="-5.6696172239011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77-BE43-BCD1-BF6FE85489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3A36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Sheet1!$J$9:$M$9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Sheet1!$J$11:$M$11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168</c:v>
                </c:pt>
                <c:pt idx="3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A-6A42-978C-9E34C15E24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0514384"/>
        <c:axId val="600012112"/>
      </c:lineChart>
      <c:catAx>
        <c:axId val="108359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S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11254096969222133"/>
              <c:y val="3.41668888731479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igh Tower Text" panose="02040502050506030303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1083599392"/>
        <c:crosses val="autoZero"/>
        <c:auto val="1"/>
        <c:lblAlgn val="ctr"/>
        <c:lblOffset val="100"/>
        <c:noMultiLvlLbl val="0"/>
      </c:catAx>
      <c:valAx>
        <c:axId val="1083599392"/>
        <c:scaling>
          <c:orientation val="minMax"/>
          <c:max val="180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K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83626591452187882"/>
              <c:y val="3.43029942060664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igh Tower Text" panose="02040502050506030303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1083597664"/>
        <c:crosses val="autoZero"/>
        <c:crossBetween val="between"/>
        <c:majorUnit val="600"/>
        <c:minorUnit val="200"/>
      </c:valAx>
      <c:valAx>
        <c:axId val="600012112"/>
        <c:scaling>
          <c:orientation val="minMax"/>
          <c:max val="6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600514384"/>
        <c:crosses val="max"/>
        <c:crossBetween val="between"/>
        <c:majorUnit val="200"/>
        <c:minorUnit val="50"/>
      </c:valAx>
      <c:catAx>
        <c:axId val="600514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0012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347544119381084"/>
          <c:y val="0.15326965276881374"/>
          <c:w val="0.26599757119912248"/>
          <c:h val="0.201821586305800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High Tower Text" panose="02040502050506030303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70553784082774"/>
          <c:y val="0.14962547714322594"/>
          <c:w val="0.75167462744842861"/>
          <c:h val="0.64900035036604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Sheet1!$I$15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rgbClr val="29717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Sheet1!$J$14:$M$14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Sheet1!$J$15:$M$15</c:f>
              <c:numCache>
                <c:formatCode>General</c:formatCode>
                <c:ptCount val="4"/>
                <c:pt idx="0">
                  <c:v>124</c:v>
                </c:pt>
                <c:pt idx="1">
                  <c:v>260</c:v>
                </c:pt>
                <c:pt idx="2">
                  <c:v>558</c:v>
                </c:pt>
                <c:pt idx="3">
                  <c:v>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4-1347-9168-2D9FFC0589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axId val="600455520"/>
        <c:axId val="600502320"/>
      </c:barChart>
      <c:lineChart>
        <c:grouping val="standard"/>
        <c:varyColors val="0"/>
        <c:ser>
          <c:idx val="1"/>
          <c:order val="1"/>
          <c:tx>
            <c:strRef>
              <c:f>Sheet1!$I$16</c:f>
              <c:strCache>
                <c:ptCount val="1"/>
                <c:pt idx="0">
                  <c:v>Token</c:v>
                </c:pt>
              </c:strCache>
            </c:strRef>
          </c:tx>
          <c:spPr>
            <a:ln w="19050" cap="rnd">
              <a:solidFill>
                <a:srgbClr val="F3A36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3A361"/>
              </a:solidFill>
              <a:ln w="9525">
                <a:solidFill>
                  <a:srgbClr val="F3A36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D4-1347-9168-2D9FFC0589B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D4-1347-9168-2D9FFC0589BB}"/>
                </c:ext>
              </c:extLst>
            </c:dLbl>
            <c:dLbl>
              <c:idx val="2"/>
              <c:layout>
                <c:manualLayout>
                  <c:x val="-4.6434494195688222E-2"/>
                  <c:y val="-5.6206088992974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D4-1347-9168-2D9FFC0589BB}"/>
                </c:ext>
              </c:extLst>
            </c:dLbl>
            <c:dLbl>
              <c:idx val="3"/>
              <c:layout>
                <c:manualLayout>
                  <c:x val="-4.975124378109453E-2"/>
                  <c:y val="-5.15222482435597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D4-1347-9168-2D9FFC0589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3A36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Sheet1!$J$14:$M$14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Sheet1!$J$16:$M$16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58</c:v>
                </c:pt>
                <c:pt idx="3">
                  <c:v>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D4-1347-9168-2D9FFC0589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9689248"/>
        <c:axId val="1006278879"/>
      </c:lineChart>
      <c:catAx>
        <c:axId val="600455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600502320"/>
        <c:crosses val="autoZero"/>
        <c:auto val="1"/>
        <c:lblAlgn val="ctr"/>
        <c:lblOffset val="100"/>
        <c:noMultiLvlLbl val="0"/>
      </c:catAx>
      <c:valAx>
        <c:axId val="600502320"/>
        <c:scaling>
          <c:orientation val="minMax"/>
          <c:max val="180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S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10857488479532759"/>
              <c:y val="3.584347433496875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600455520"/>
        <c:crosses val="autoZero"/>
        <c:crossBetween val="between"/>
        <c:majorUnit val="600"/>
      </c:valAx>
      <c:valAx>
        <c:axId val="1006278879"/>
        <c:scaling>
          <c:orientation val="minMax"/>
          <c:max val="600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K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83546029902811569"/>
              <c:y val="3.122690579764671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609689248"/>
        <c:crosses val="max"/>
        <c:crossBetween val="between"/>
        <c:majorUnit val="200"/>
      </c:valAx>
      <c:catAx>
        <c:axId val="609689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6278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160640367715233"/>
          <c:y val="0.14907743089490863"/>
          <c:w val="0.27630984564255456"/>
          <c:h val="0.218604067934131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High Tower Text" panose="02040502050506030303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67739586047305"/>
          <c:y val="0.1480556095274167"/>
          <c:w val="0.74949541155038613"/>
          <c:h val="0.639011971060065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Sheet1!$I$19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rgbClr val="29717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.36498807192986182"/>
                  <c:y val="-0.5517872852295374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High Tower Text" panose="02040502050506030303" pitchFamily="18" charset="0"/>
                        <a:ea typeface="+mn-ea"/>
                        <a:cs typeface="+mn-cs"/>
                      </a:defRPr>
                    </a:pPr>
                    <a:fld id="{B2AA069A-54B5-BA45-8CF3-F03B2AF331A9}" type="CELLRANGE">
                      <a:rPr lang="en-US" altLang="zh-CN"/>
                      <a:pPr>
                        <a:defRPr sz="1600">
                          <a:solidFill>
                            <a:schemeClr val="tx1"/>
                          </a:solidFill>
                          <a:latin typeface="High Tower Text" panose="02040502050506030303" pitchFamily="18" charset="0"/>
                        </a:defRPr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High Tower Text" panose="02040502050506030303" pitchFamily="18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C2D-004B-BF32-5F061A20891C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/>
                        </a:solidFill>
                        <a:latin typeface="High Tower Text" panose="02040502050506030303" pitchFamily="18" charset="0"/>
                        <a:ea typeface="+mn-ea"/>
                        <a:cs typeface="+mn-cs"/>
                      </a:defRPr>
                    </a:pPr>
                    <a:fld id="{578A88DF-D9DC-3F4B-925B-AC4FCE75EF62}" type="VALUE">
                      <a:rPr lang="en-US" altLang="zh-CN" sz="1600">
                        <a:solidFill>
                          <a:schemeClr val="tx1"/>
                        </a:solidFill>
                        <a:latin typeface="High Tower Text" panose="02040502050506030303" pitchFamily="18" charset="0"/>
                      </a:rPr>
                      <a:pPr>
                        <a:defRPr sz="1600">
                          <a:solidFill>
                            <a:schemeClr val="tx1"/>
                          </a:solidFill>
                          <a:latin typeface="High Tower Text" panose="02040502050506030303" pitchFamily="18" charset="0"/>
                        </a:defRPr>
                      </a:pPr>
                      <a:t>[值]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High Tower Text" panose="02040502050506030303" pitchFamily="18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C2D-004B-BF32-5F061A2089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Sheet1!$J$18:$M$18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Sheet1!$J$19:$M$19</c:f>
              <c:numCache>
                <c:formatCode>General</c:formatCode>
                <c:ptCount val="4"/>
                <c:pt idx="0">
                  <c:v>95</c:v>
                </c:pt>
                <c:pt idx="1">
                  <c:v>205</c:v>
                </c:pt>
                <c:pt idx="2">
                  <c:v>1680</c:v>
                </c:pt>
                <c:pt idx="3">
                  <c:v>1392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Sheet1!$L$19:$M$19</c15:f>
                <c15:dlblRangeCache>
                  <c:ptCount val="2"/>
                  <c:pt idx="0">
                    <c:v>1680</c:v>
                  </c:pt>
                  <c:pt idx="1">
                    <c:v>1392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801-EB43-AB41-BC2FEC234E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axId val="1006148879"/>
        <c:axId val="609525136"/>
      </c:barChart>
      <c:lineChart>
        <c:grouping val="standard"/>
        <c:varyColors val="0"/>
        <c:ser>
          <c:idx val="1"/>
          <c:order val="1"/>
          <c:tx>
            <c:strRef>
              <c:f>Sheet1!$I$20</c:f>
              <c:strCache>
                <c:ptCount val="1"/>
                <c:pt idx="0">
                  <c:v>Token</c:v>
                </c:pt>
              </c:strCache>
            </c:strRef>
          </c:tx>
          <c:spPr>
            <a:ln w="28575" cap="rnd">
              <a:solidFill>
                <a:srgbClr val="F3A36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5.9187254907545277E-2"/>
                  <c:y val="-5.01624804754124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2D-004B-BF32-5F061A20891C}"/>
                </c:ext>
              </c:extLst>
            </c:dLbl>
            <c:dLbl>
              <c:idx val="3"/>
              <c:layout>
                <c:manualLayout>
                  <c:x val="-5.5899074079348327E-2"/>
                  <c:y val="-9.1204509955295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2D-004B-BF32-5F061A2089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Sheet1!$J$18:$M$18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Sheet1!$J$20:$M$20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425</c:v>
                </c:pt>
                <c:pt idx="3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01-EB43-AB41-BC2FEC234E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9765520"/>
        <c:axId val="609289264"/>
      </c:lineChart>
      <c:catAx>
        <c:axId val="1006148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609525136"/>
        <c:crosses val="autoZero"/>
        <c:auto val="1"/>
        <c:lblAlgn val="ctr"/>
        <c:lblOffset val="100"/>
        <c:noMultiLvlLbl val="0"/>
      </c:catAx>
      <c:valAx>
        <c:axId val="609525136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S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11127928875871951"/>
              <c:y val="2.987594032208836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igh Tower Text" panose="02040502050506030303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1006148879"/>
        <c:crosses val="autoZero"/>
        <c:crossBetween val="between"/>
        <c:majorUnit val="600"/>
      </c:valAx>
      <c:valAx>
        <c:axId val="609289264"/>
        <c:scaling>
          <c:orientation val="minMax"/>
          <c:max val="600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K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84284126786038849"/>
              <c:y val="3.443616581985313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609765520"/>
        <c:crosses val="max"/>
        <c:crossBetween val="between"/>
        <c:majorUnit val="200"/>
      </c:valAx>
      <c:catAx>
        <c:axId val="609765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9289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110833960331596"/>
          <c:y val="0.14301621214025387"/>
          <c:w val="0.27018675979547002"/>
          <c:h val="0.199320275049821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High Tower Text" panose="02040502050506030303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25690045420909"/>
          <c:y val="0.14129983522932144"/>
          <c:w val="0.75065852711090197"/>
          <c:h val="0.640296055703119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Sheet1!$I$23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rgbClr val="29717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2"/>
              <c:layout>
                <c:manualLayout>
                  <c:x val="-9.8360655737706124E-3"/>
                  <c:y val="9.259255883910792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2C-0A42-B236-92B7A98DB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Sheet1!$J$22:$M$22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Sheet1!$J$23:$M$23</c:f>
              <c:numCache>
                <c:formatCode>General</c:formatCode>
                <c:ptCount val="4"/>
                <c:pt idx="0">
                  <c:v>105</c:v>
                </c:pt>
                <c:pt idx="1">
                  <c:v>225</c:v>
                </c:pt>
                <c:pt idx="2">
                  <c:v>2652</c:v>
                </c:pt>
                <c:pt idx="3">
                  <c:v>1512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C-0A42-B236-92B7A98DB4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axId val="394474031"/>
        <c:axId val="394476303"/>
      </c:barChart>
      <c:lineChart>
        <c:grouping val="standard"/>
        <c:varyColors val="0"/>
        <c:ser>
          <c:idx val="1"/>
          <c:order val="1"/>
          <c:tx>
            <c:strRef>
              <c:f>Sheet1!$I$24</c:f>
              <c:strCache>
                <c:ptCount val="1"/>
                <c:pt idx="0">
                  <c:v>Token</c:v>
                </c:pt>
              </c:strCache>
            </c:strRef>
          </c:tx>
          <c:spPr>
            <a:ln w="28575" cap="rnd">
              <a:solidFill>
                <a:srgbClr val="F3A36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3A361"/>
              </a:solidFill>
              <a:ln w="9525">
                <a:solidFill>
                  <a:srgbClr val="F3A36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2C-0A42-B236-92B7A98DB4E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2C-0A42-B236-92B7A98DB4EC}"/>
                </c:ext>
              </c:extLst>
            </c:dLbl>
            <c:dLbl>
              <c:idx val="2"/>
              <c:layout>
                <c:manualLayout>
                  <c:x val="-4.5901639344262418E-2"/>
                  <c:y val="9.25925588391080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2C-0A42-B236-92B7A98DB4EC}"/>
                </c:ext>
              </c:extLst>
            </c:dLbl>
            <c:dLbl>
              <c:idx val="3"/>
              <c:layout>
                <c:manualLayout>
                  <c:x val="-4.9104379930253857E-2"/>
                  <c:y val="6.0048788276556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2C-0A42-B236-92B7A98DB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3A36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Sheet1!$J$22:$M$22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Sheet1!$J$24:$M$24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555</c:v>
                </c:pt>
                <c:pt idx="3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2C-0A42-B236-92B7A98DB4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94497359"/>
        <c:axId val="394494495"/>
      </c:lineChart>
      <c:catAx>
        <c:axId val="394474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394476303"/>
        <c:crosses val="autoZero"/>
        <c:auto val="1"/>
        <c:lblAlgn val="ctr"/>
        <c:lblOffset val="100"/>
        <c:noMultiLvlLbl val="0"/>
      </c:catAx>
      <c:valAx>
        <c:axId val="394476303"/>
        <c:scaling>
          <c:orientation val="minMax"/>
          <c:max val="270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S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11460640949760346"/>
              <c:y val="2.460082106951778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igh Tower Text" panose="02040502050506030303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394474031"/>
        <c:crosses val="autoZero"/>
        <c:crossBetween val="between"/>
        <c:majorUnit val="900"/>
      </c:valAx>
      <c:valAx>
        <c:axId val="394494495"/>
        <c:scaling>
          <c:orientation val="minMax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K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83617465905512245"/>
              <c:y val="2.460082106951778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394497359"/>
        <c:crosses val="max"/>
        <c:crossBetween val="between"/>
        <c:majorUnit val="200"/>
      </c:valAx>
      <c:catAx>
        <c:axId val="3944973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4494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17878638116747"/>
          <c:y val="0.13968459545939357"/>
          <c:w val="0.29194836710984895"/>
          <c:h val="0.20582870235942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High Tower Text" panose="02040502050506030303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64833180416901"/>
          <c:y val="0.15264135926947658"/>
          <c:w val="0.73861066434059741"/>
          <c:h val="0.635255867989831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Sheet1!$I$6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rgbClr val="29717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Sheet1!$J$5:$M$5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Sheet1!$J$6:$M$6</c:f>
              <c:numCache>
                <c:formatCode>General</c:formatCode>
                <c:ptCount val="4"/>
                <c:pt idx="0">
                  <c:v>68</c:v>
                </c:pt>
                <c:pt idx="1">
                  <c:v>148</c:v>
                </c:pt>
                <c:pt idx="2">
                  <c:v>1482</c:v>
                </c:pt>
                <c:pt idx="3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C-E444-B9E5-099A3E1B7A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axId val="542182912"/>
        <c:axId val="542185184"/>
      </c:barChart>
      <c:lineChart>
        <c:grouping val="standard"/>
        <c:varyColors val="0"/>
        <c:ser>
          <c:idx val="1"/>
          <c:order val="1"/>
          <c:tx>
            <c:strRef>
              <c:f>Sheet1!$I$7</c:f>
              <c:strCache>
                <c:ptCount val="1"/>
                <c:pt idx="0">
                  <c:v>Token</c:v>
                </c:pt>
              </c:strCache>
            </c:strRef>
          </c:tx>
          <c:spPr>
            <a:ln w="19050" cap="rnd">
              <a:solidFill>
                <a:srgbClr val="F3A36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3A361"/>
              </a:solidFill>
              <a:ln w="9525">
                <a:solidFill>
                  <a:srgbClr val="F3A36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5C-E444-B9E5-099A3E1B7A1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5C-E444-B9E5-099A3E1B7A17}"/>
                </c:ext>
              </c:extLst>
            </c:dLbl>
            <c:dLbl>
              <c:idx val="2"/>
              <c:layout>
                <c:manualLayout>
                  <c:x val="-6.243718175550516E-2"/>
                  <c:y val="-5.21375275818070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rgbClr val="F3A361"/>
                        </a:solidFill>
                        <a:latin typeface="High Tower Text" panose="02040502050506030303" pitchFamily="18" charset="0"/>
                        <a:ea typeface="+mn-ea"/>
                        <a:cs typeface="+mn-cs"/>
                      </a:defRPr>
                    </a:pPr>
                    <a:fld id="{42B2049E-A38E-D742-A7E3-DE02EF8855CF}" type="VALUE">
                      <a:rPr lang="en-US" altLang="zh-CN" sz="1600">
                        <a:solidFill>
                          <a:srgbClr val="F3A361"/>
                        </a:solidFill>
                      </a:rPr>
                      <a:pPr>
                        <a:defRPr sz="1600">
                          <a:solidFill>
                            <a:srgbClr val="F3A361"/>
                          </a:solidFill>
                          <a:latin typeface="High Tower Text" panose="02040502050506030303" pitchFamily="18" charset="0"/>
                        </a:defRPr>
                      </a:pPr>
                      <a:t>[值]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rgbClr val="F3A361"/>
                      </a:solidFill>
                      <a:latin typeface="High Tower Text" panose="02040502050506030303" pitchFamily="18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25C-E444-B9E5-099A3E1B7A17}"/>
                </c:ext>
              </c:extLst>
            </c:dLbl>
            <c:dLbl>
              <c:idx val="3"/>
              <c:layout>
                <c:manualLayout>
                  <c:x val="-5.5796099246596391E-2"/>
                  <c:y val="-0.103965968649373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rgbClr val="F3A361"/>
                      </a:solidFill>
                      <a:latin typeface="High Tower Text" panose="02040502050506030303" pitchFamily="18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5C-E444-B9E5-099A3E1B7A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Sheet1!$J$5:$M$5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Sheet1!$J$7:$M$7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405</c:v>
                </c:pt>
                <c:pt idx="3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5C-E444-B9E5-099A3E1B7A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3619232"/>
        <c:axId val="223616096"/>
      </c:lineChart>
      <c:catAx>
        <c:axId val="54218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S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14203127206425942"/>
              <c:y val="3.044631722492873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542185184"/>
        <c:crosses val="autoZero"/>
        <c:auto val="1"/>
        <c:lblAlgn val="ctr"/>
        <c:lblOffset val="100"/>
        <c:noMultiLvlLbl val="0"/>
      </c:catAx>
      <c:valAx>
        <c:axId val="542185184"/>
        <c:scaling>
          <c:orientation val="minMax"/>
          <c:max val="180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K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80407560617010143"/>
              <c:y val="3.127400278881173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igh Tower Text" panose="02040502050506030303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542182912"/>
        <c:crosses val="autoZero"/>
        <c:crossBetween val="between"/>
        <c:majorUnit val="600"/>
      </c:valAx>
      <c:valAx>
        <c:axId val="223616096"/>
        <c:scaling>
          <c:orientation val="minMax"/>
          <c:max val="6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223619232"/>
        <c:crosses val="max"/>
        <c:crossBetween val="between"/>
        <c:majorUnit val="200"/>
        <c:minorUnit val="100"/>
      </c:valAx>
      <c:catAx>
        <c:axId val="223619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3616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565788872552685"/>
          <c:y val="0.14739725094382436"/>
          <c:w val="0.26990895690853706"/>
          <c:h val="0.212171978981917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High Tower Text" panose="02040502050506030303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65881876705709"/>
          <c:y val="0.15686495375219867"/>
          <c:w val="0.74630469698750346"/>
          <c:h val="0.630202483964353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Sheet1!$I$10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rgbClr val="29717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Sheet1!$J$9:$M$9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Sheet1!$J$10:$M$10</c:f>
              <c:numCache>
                <c:formatCode>General</c:formatCode>
                <c:ptCount val="4"/>
                <c:pt idx="0">
                  <c:v>18</c:v>
                </c:pt>
                <c:pt idx="1">
                  <c:v>42</c:v>
                </c:pt>
                <c:pt idx="2">
                  <c:v>750</c:v>
                </c:pt>
                <c:pt idx="3">
                  <c:v>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3-B842-B119-DE2DF383FC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axId val="1083597664"/>
        <c:axId val="1083599392"/>
      </c:barChart>
      <c:lineChart>
        <c:grouping val="standard"/>
        <c:varyColors val="0"/>
        <c:ser>
          <c:idx val="1"/>
          <c:order val="1"/>
          <c:tx>
            <c:strRef>
              <c:f>Sheet1!$I$11</c:f>
              <c:strCache>
                <c:ptCount val="1"/>
                <c:pt idx="0">
                  <c:v>Token</c:v>
                </c:pt>
              </c:strCache>
            </c:strRef>
          </c:tx>
          <c:spPr>
            <a:ln w="19050" cap="rnd">
              <a:solidFill>
                <a:srgbClr val="F3A36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3A361"/>
              </a:solidFill>
              <a:ln w="9525">
                <a:solidFill>
                  <a:srgbClr val="F3A36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D3-B842-B119-DE2DF383FCB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D3-B842-B119-DE2DF383FCBA}"/>
                </c:ext>
              </c:extLst>
            </c:dLbl>
            <c:dLbl>
              <c:idx val="2"/>
              <c:layout>
                <c:manualLayout>
                  <c:x val="-5.6622529557423272E-2"/>
                  <c:y val="6.9544262233069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D3-B842-B119-DE2DF383FCBA}"/>
                </c:ext>
              </c:extLst>
            </c:dLbl>
            <c:dLbl>
              <c:idx val="3"/>
              <c:layout>
                <c:manualLayout>
                  <c:x val="-4.3762085327287703E-2"/>
                  <c:y val="-5.6696172239011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BD3-B842-B119-DE2DF383FC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F3A36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Sheet1!$J$9:$M$9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Sheet1!$J$11:$M$11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168</c:v>
                </c:pt>
                <c:pt idx="3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D3-B842-B119-DE2DF383FC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0514384"/>
        <c:axId val="600012112"/>
      </c:lineChart>
      <c:catAx>
        <c:axId val="108359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S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14226150528665027"/>
              <c:y val="3.41668888731479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igh Tower Text" panose="02040502050506030303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1083599392"/>
        <c:crosses val="autoZero"/>
        <c:auto val="1"/>
        <c:lblAlgn val="ctr"/>
        <c:lblOffset val="100"/>
        <c:noMultiLvlLbl val="0"/>
      </c:catAx>
      <c:valAx>
        <c:axId val="1083599392"/>
        <c:scaling>
          <c:orientation val="minMax"/>
          <c:max val="180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K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8032429503312557"/>
              <c:y val="3.43029942060664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igh Tower Text" panose="02040502050506030303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1083597664"/>
        <c:crosses val="autoZero"/>
        <c:crossBetween val="between"/>
        <c:majorUnit val="600"/>
        <c:minorUnit val="200"/>
      </c:valAx>
      <c:valAx>
        <c:axId val="600012112"/>
        <c:scaling>
          <c:orientation val="minMax"/>
          <c:max val="6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600514384"/>
        <c:crosses val="max"/>
        <c:crossBetween val="between"/>
        <c:majorUnit val="200"/>
        <c:minorUnit val="50"/>
      </c:valAx>
      <c:catAx>
        <c:axId val="600514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0012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70742772865809"/>
          <c:y val="0.15326981009412036"/>
          <c:w val="0.26599757119912248"/>
          <c:h val="0.201821586305800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High Tower Text" panose="02040502050506030303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70553784082774"/>
          <c:y val="0.14962547714322594"/>
          <c:w val="0.75167462744842861"/>
          <c:h val="0.64900035036604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Sheet1!$I$15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rgbClr val="29717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3"/>
              <c:layout>
                <c:manualLayout>
                  <c:x val="-2.6331346301521386E-2"/>
                  <c:y val="1.41297361967126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DC-124F-88C8-210C4D89A4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Sheet1!$J$14:$M$14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Sheet1!$J$15:$M$15</c:f>
              <c:numCache>
                <c:formatCode>General</c:formatCode>
                <c:ptCount val="4"/>
                <c:pt idx="0">
                  <c:v>124</c:v>
                </c:pt>
                <c:pt idx="1">
                  <c:v>260</c:v>
                </c:pt>
                <c:pt idx="2">
                  <c:v>558</c:v>
                </c:pt>
                <c:pt idx="3">
                  <c:v>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C-124F-88C8-210C4D89A4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axId val="600455520"/>
        <c:axId val="600502320"/>
      </c:barChart>
      <c:lineChart>
        <c:grouping val="standard"/>
        <c:varyColors val="0"/>
        <c:ser>
          <c:idx val="1"/>
          <c:order val="1"/>
          <c:tx>
            <c:strRef>
              <c:f>Sheet1!$I$16</c:f>
              <c:strCache>
                <c:ptCount val="1"/>
                <c:pt idx="0">
                  <c:v>Token</c:v>
                </c:pt>
              </c:strCache>
            </c:strRef>
          </c:tx>
          <c:spPr>
            <a:ln w="19050" cap="rnd">
              <a:solidFill>
                <a:srgbClr val="F3A36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3A361"/>
              </a:solidFill>
              <a:ln w="9525">
                <a:solidFill>
                  <a:srgbClr val="F3A36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DC-124F-88C8-210C4D89A4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DC-124F-88C8-210C4D89A42A}"/>
                </c:ext>
              </c:extLst>
            </c:dLbl>
            <c:dLbl>
              <c:idx val="2"/>
              <c:layout>
                <c:manualLayout>
                  <c:x val="-4.6434494195688222E-2"/>
                  <c:y val="-5.6206088992974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DC-124F-88C8-210C4D89A42A}"/>
                </c:ext>
              </c:extLst>
            </c:dLbl>
            <c:dLbl>
              <c:idx val="3"/>
              <c:layout>
                <c:manualLayout>
                  <c:x val="-4.975124378109453E-2"/>
                  <c:y val="-5.15222482435597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DC-124F-88C8-210C4D89A4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F3A36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Sheet1!$J$14:$M$14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Sheet1!$J$16:$M$16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58</c:v>
                </c:pt>
                <c:pt idx="3">
                  <c:v>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DC-124F-88C8-210C4D89A4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9689248"/>
        <c:axId val="1006278879"/>
      </c:lineChart>
      <c:catAx>
        <c:axId val="600455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600502320"/>
        <c:crosses val="autoZero"/>
        <c:auto val="1"/>
        <c:lblAlgn val="ctr"/>
        <c:lblOffset val="100"/>
        <c:noMultiLvlLbl val="0"/>
      </c:catAx>
      <c:valAx>
        <c:axId val="600502320"/>
        <c:scaling>
          <c:orientation val="minMax"/>
          <c:max val="180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S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13819758306230967"/>
              <c:y val="2.642371926550589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600455520"/>
        <c:crosses val="autoZero"/>
        <c:crossBetween val="between"/>
        <c:majorUnit val="600"/>
      </c:valAx>
      <c:valAx>
        <c:axId val="1006278879"/>
        <c:scaling>
          <c:orientation val="minMax"/>
          <c:max val="600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K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8058374210415965"/>
              <c:y val="3.12270878539526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609689248"/>
        <c:crosses val="max"/>
        <c:crossBetween val="between"/>
        <c:majorUnit val="200"/>
      </c:valAx>
      <c:catAx>
        <c:axId val="609689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6278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122923069706276"/>
          <c:y val="0.14907724663732677"/>
          <c:w val="0.27630984564255456"/>
          <c:h val="0.218604067934131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High Tower Text" panose="02040502050506030303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25690045420909"/>
          <c:y val="0.14129983522932144"/>
          <c:w val="0.75065852711090197"/>
          <c:h val="0.640296055703119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Sheet1!$I$23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rgbClr val="29717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2"/>
              <c:layout>
                <c:manualLayout>
                  <c:x val="-9.8360655737706124E-3"/>
                  <c:y val="9.259255883910792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F2-404F-970C-0C80BF18A5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Sheet1!$J$22:$M$22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Sheet1!$J$23:$M$23</c:f>
              <c:numCache>
                <c:formatCode>General</c:formatCode>
                <c:ptCount val="4"/>
                <c:pt idx="0">
                  <c:v>105</c:v>
                </c:pt>
                <c:pt idx="1">
                  <c:v>225</c:v>
                </c:pt>
                <c:pt idx="2">
                  <c:v>2652</c:v>
                </c:pt>
                <c:pt idx="3">
                  <c:v>1512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F2-404F-970C-0C80BF18A5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axId val="394474031"/>
        <c:axId val="394476303"/>
      </c:barChart>
      <c:lineChart>
        <c:grouping val="standard"/>
        <c:varyColors val="0"/>
        <c:ser>
          <c:idx val="1"/>
          <c:order val="1"/>
          <c:tx>
            <c:strRef>
              <c:f>Sheet1!$I$24</c:f>
              <c:strCache>
                <c:ptCount val="1"/>
                <c:pt idx="0">
                  <c:v>Token</c:v>
                </c:pt>
              </c:strCache>
            </c:strRef>
          </c:tx>
          <c:spPr>
            <a:ln w="28575" cap="rnd">
              <a:solidFill>
                <a:srgbClr val="F3A36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3A361"/>
              </a:solidFill>
              <a:ln w="9525">
                <a:solidFill>
                  <a:srgbClr val="F3A36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F2-404F-970C-0C80BF18A5A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F2-404F-970C-0C80BF18A5AF}"/>
                </c:ext>
              </c:extLst>
            </c:dLbl>
            <c:dLbl>
              <c:idx val="2"/>
              <c:layout>
                <c:manualLayout>
                  <c:x val="-5.2415370668841305E-2"/>
                  <c:y val="0.1111110706069296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F2-404F-970C-0C80BF18A5AF}"/>
                </c:ext>
              </c:extLst>
            </c:dLbl>
            <c:dLbl>
              <c:idx val="3"/>
              <c:layout>
                <c:manualLayout>
                  <c:x val="-5.8874908481973992E-2"/>
                  <c:y val="6.00488261705940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F2-404F-970C-0C80BF18A5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F3A36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Sheet1!$J$22:$M$22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Sheet1!$J$24:$M$24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555</c:v>
                </c:pt>
                <c:pt idx="3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F2-404F-970C-0C80BF18A5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94497359"/>
        <c:axId val="394494495"/>
      </c:lineChart>
      <c:catAx>
        <c:axId val="394474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394476303"/>
        <c:crosses val="autoZero"/>
        <c:auto val="1"/>
        <c:lblAlgn val="ctr"/>
        <c:lblOffset val="100"/>
        <c:noMultiLvlLbl val="0"/>
      </c:catAx>
      <c:valAx>
        <c:axId val="394476303"/>
        <c:scaling>
          <c:orientation val="minMax"/>
          <c:max val="270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S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14717457728609143"/>
              <c:y val="2.460082217817797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igh Tower Text" panose="02040502050506030303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394474031"/>
        <c:crosses val="autoZero"/>
        <c:crossBetween val="between"/>
        <c:majorUnit val="900"/>
      </c:valAx>
      <c:valAx>
        <c:axId val="394494495"/>
        <c:scaling>
          <c:orientation val="minMax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K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80686317878807712"/>
              <c:y val="2.460082217817797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394497359"/>
        <c:crosses val="max"/>
        <c:crossBetween val="between"/>
        <c:majorUnit val="200"/>
      </c:valAx>
      <c:catAx>
        <c:axId val="3944973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4494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074699224645183"/>
          <c:y val="0.13968462391199188"/>
          <c:w val="0.29194836710984895"/>
          <c:h val="0.20582870235942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High Tower Text" panose="02040502050506030303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67739586047305"/>
          <c:y val="0.1480556095274167"/>
          <c:w val="0.74949541155038613"/>
          <c:h val="0.639011971060065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Sheet1!$I$19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rgbClr val="29717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2.0866341890352601E-3"/>
                  <c:y val="8.097794196119454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/>
                        </a:solidFill>
                        <a:latin typeface="High Tower Text" panose="02040502050506030303" pitchFamily="18" charset="0"/>
                        <a:ea typeface="+mn-ea"/>
                        <a:cs typeface="+mn-cs"/>
                      </a:defRPr>
                    </a:pPr>
                    <a:fld id="{F1943F39-3E01-7D41-B2CA-8CDB73765C2F}" type="CELLRANGE">
                      <a:rPr lang="en-US" altLang="zh-CN"/>
                      <a:pPr>
                        <a:defRPr sz="2000">
                          <a:solidFill>
                            <a:schemeClr val="tx1"/>
                          </a:solidFill>
                          <a:latin typeface="High Tower Text" panose="02040502050506030303" pitchFamily="18" charset="0"/>
                        </a:defRPr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1"/>
                      </a:solidFill>
                      <a:latin typeface="High Tower Text" panose="02040502050506030303" pitchFamily="18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4F5-7C4F-A895-703A86316A84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/>
                        </a:solidFill>
                        <a:latin typeface="High Tower Text" panose="02040502050506030303" pitchFamily="18" charset="0"/>
                        <a:ea typeface="+mn-ea"/>
                        <a:cs typeface="+mn-cs"/>
                      </a:defRPr>
                    </a:pPr>
                    <a:fld id="{2963FFCD-C4BA-D942-B41B-F6198F6D6B9D}" type="CELLRANGE">
                      <a:rPr lang="zh-CN" altLang="en-US"/>
                      <a:pPr>
                        <a:defRPr sz="2000">
                          <a:solidFill>
                            <a:schemeClr val="tx1"/>
                          </a:solidFill>
                          <a:latin typeface="High Tower Text" panose="02040502050506030303" pitchFamily="18" charset="0"/>
                        </a:defRPr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1"/>
                      </a:solidFill>
                      <a:latin typeface="High Tower Text" panose="02040502050506030303" pitchFamily="18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4F5-7C4F-A895-703A86316A84}"/>
                </c:ext>
              </c:extLst>
            </c:dLbl>
            <c:dLbl>
              <c:idx val="2"/>
              <c:layout>
                <c:manualLayout>
                  <c:x val="6.5384293611516304E-3"/>
                  <c:y val="1.850341602927619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/>
                        </a:solidFill>
                        <a:latin typeface="High Tower Text" panose="02040502050506030303" pitchFamily="18" charset="0"/>
                        <a:ea typeface="+mn-ea"/>
                        <a:cs typeface="+mn-cs"/>
                      </a:defRPr>
                    </a:pPr>
                    <a:fld id="{59CA800B-D6D9-C149-B3CC-94878773215C}" type="CELLRANGE">
                      <a:rPr lang="en-US" altLang="zh-CN"/>
                      <a:pPr>
                        <a:defRPr sz="2000">
                          <a:solidFill>
                            <a:schemeClr val="tx1"/>
                          </a:solidFill>
                          <a:latin typeface="High Tower Text" panose="02040502050506030303" pitchFamily="18" charset="0"/>
                        </a:defRPr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1"/>
                      </a:solidFill>
                      <a:latin typeface="High Tower Text" panose="02040502050506030303" pitchFamily="18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4F5-7C4F-A895-703A86316A84}"/>
                </c:ext>
              </c:extLst>
            </c:dLbl>
            <c:dLbl>
              <c:idx val="3"/>
              <c:layout>
                <c:manualLayout>
                  <c:x val="6.557040183039398E-3"/>
                  <c:y val="1.871277474718414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/>
                        </a:solidFill>
                        <a:latin typeface="High Tower Text" panose="02040502050506030303" pitchFamily="18" charset="0"/>
                        <a:ea typeface="+mn-ea"/>
                        <a:cs typeface="+mn-cs"/>
                      </a:defRPr>
                    </a:pPr>
                    <a:fld id="{0C1BCD6F-0F9A-174C-AA47-D81F2859F2BD}" type="VALUE">
                      <a:rPr lang="en-US" altLang="zh-CN" sz="2000">
                        <a:solidFill>
                          <a:schemeClr val="tx1"/>
                        </a:solidFill>
                        <a:latin typeface="High Tower Text" panose="02040502050506030303" pitchFamily="18" charset="0"/>
                      </a:rPr>
                      <a:pPr>
                        <a:defRPr sz="2000">
                          <a:solidFill>
                            <a:schemeClr val="tx1"/>
                          </a:solidFill>
                          <a:latin typeface="High Tower Text" panose="02040502050506030303" pitchFamily="18" charset="0"/>
                        </a:defRPr>
                      </a:pPr>
                      <a:t>[值]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1"/>
                      </a:solidFill>
                      <a:latin typeface="High Tower Text" panose="02040502050506030303" pitchFamily="18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4F5-7C4F-A895-703A86316A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Sheet1!$J$18:$M$18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Sheet1!$J$19:$M$19</c:f>
              <c:numCache>
                <c:formatCode>General</c:formatCode>
                <c:ptCount val="4"/>
                <c:pt idx="0">
                  <c:v>95</c:v>
                </c:pt>
                <c:pt idx="1">
                  <c:v>205</c:v>
                </c:pt>
                <c:pt idx="2">
                  <c:v>1680</c:v>
                </c:pt>
                <c:pt idx="3">
                  <c:v>1392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Sheet1!$J$19:$M$19</c15:f>
                <c15:dlblRangeCache>
                  <c:ptCount val="4"/>
                  <c:pt idx="0">
                    <c:v>95</c:v>
                  </c:pt>
                  <c:pt idx="1">
                    <c:v>205</c:v>
                  </c:pt>
                  <c:pt idx="2">
                    <c:v>1680</c:v>
                  </c:pt>
                  <c:pt idx="3">
                    <c:v>1392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F4F5-7C4F-A895-703A86316A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axId val="1006148879"/>
        <c:axId val="609525136"/>
      </c:barChart>
      <c:lineChart>
        <c:grouping val="standard"/>
        <c:varyColors val="0"/>
        <c:ser>
          <c:idx val="1"/>
          <c:order val="1"/>
          <c:tx>
            <c:strRef>
              <c:f>Sheet1!$I$20</c:f>
              <c:strCache>
                <c:ptCount val="1"/>
                <c:pt idx="0">
                  <c:v>Token</c:v>
                </c:pt>
              </c:strCache>
            </c:strRef>
          </c:tx>
          <c:spPr>
            <a:ln w="28575" cap="rnd">
              <a:solidFill>
                <a:srgbClr val="F3A36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3A361"/>
              </a:solidFill>
              <a:ln w="9525">
                <a:solidFill>
                  <a:srgbClr val="F3A36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5.9187254907545277E-2"/>
                  <c:y val="-5.01624804754124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F5-7C4F-A895-703A86316A84}"/>
                </c:ext>
              </c:extLst>
            </c:dLbl>
            <c:dLbl>
              <c:idx val="3"/>
              <c:layout>
                <c:manualLayout>
                  <c:x val="-5.5899074079348327E-2"/>
                  <c:y val="-9.1204509955295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4F5-7C4F-A895-703A86316A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F3A36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Sheet1!$J$18:$M$18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Sheet1!$J$20:$M$20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425</c:v>
                </c:pt>
                <c:pt idx="3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F5-7C4F-A895-703A86316A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9765520"/>
        <c:axId val="609289264"/>
      </c:lineChart>
      <c:catAx>
        <c:axId val="1006148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609525136"/>
        <c:crosses val="autoZero"/>
        <c:auto val="1"/>
        <c:lblAlgn val="ctr"/>
        <c:lblOffset val="100"/>
        <c:noMultiLvlLbl val="0"/>
      </c:catAx>
      <c:valAx>
        <c:axId val="609525136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S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1374328942203116"/>
              <c:y val="2.987609631829372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igh Tower Text" panose="02040502050506030303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1006148879"/>
        <c:crosses val="autoZero"/>
        <c:crossBetween val="between"/>
        <c:majorUnit val="600"/>
      </c:valAx>
      <c:valAx>
        <c:axId val="609289264"/>
        <c:scaling>
          <c:orientation val="minMax"/>
          <c:max val="600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K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80361080900192416"/>
              <c:y val="2.981016879267760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609765520"/>
        <c:crosses val="max"/>
        <c:crossBetween val="between"/>
        <c:majorUnit val="200"/>
      </c:valAx>
      <c:catAx>
        <c:axId val="609765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9289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17201052534024"/>
          <c:y val="0.1430160646224311"/>
          <c:w val="0.27018675979547002"/>
          <c:h val="0.199320275049821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High Tower Text" panose="02040502050506030303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038159322372022"/>
          <c:y val="0.13565297380568442"/>
          <c:w val="0.77407082645452452"/>
          <c:h val="0.64671495094915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Sheet1!$I$28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Sheet1!$J$27:$M$27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Sheet1!$J$28:$M$28</c:f>
              <c:numCache>
                <c:formatCode>General</c:formatCode>
                <c:ptCount val="4"/>
                <c:pt idx="0">
                  <c:v>82</c:v>
                </c:pt>
                <c:pt idx="1">
                  <c:v>176</c:v>
                </c:pt>
                <c:pt idx="2">
                  <c:v>1555</c:v>
                </c:pt>
                <c:pt idx="3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B-6242-92A3-F01C273DF4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axId val="342020000"/>
        <c:axId val="342072304"/>
      </c:barChart>
      <c:lineChart>
        <c:grouping val="standard"/>
        <c:varyColors val="0"/>
        <c:ser>
          <c:idx val="1"/>
          <c:order val="1"/>
          <c:tx>
            <c:strRef>
              <c:f>Sheet1!$I$29</c:f>
              <c:strCache>
                <c:ptCount val="1"/>
                <c:pt idx="0">
                  <c:v>Token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37-6743-9328-6D41BFF54C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37-6743-9328-6D41BFF54C33}"/>
                </c:ext>
              </c:extLst>
            </c:dLbl>
            <c:dLbl>
              <c:idx val="2"/>
              <c:layout>
                <c:manualLayout>
                  <c:x val="-5.5198093147485264E-2"/>
                  <c:y val="-6.09926169748622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37-6743-9328-6D41BFF54C33}"/>
                </c:ext>
              </c:extLst>
            </c:dLbl>
            <c:dLbl>
              <c:idx val="3"/>
              <c:layout>
                <c:manualLayout>
                  <c:x val="-5.5198093147485264E-2"/>
                  <c:y val="-8.44513158113477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37-6743-9328-6D41BFF54C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FFC000"/>
                    </a:solidFill>
                    <a:latin typeface="High Tower Text" panose="02040502050506030303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Sheet1!$J$27:$M$27</c:f>
              <c:strCache>
                <c:ptCount val="4"/>
                <c:pt idx="0">
                  <c:v>N.</c:v>
                </c:pt>
                <c:pt idx="1">
                  <c:v>D.</c:v>
                </c:pt>
                <c:pt idx="2">
                  <c:v>S.</c:v>
                </c:pt>
                <c:pt idx="3">
                  <c:v>M.</c:v>
                </c:pt>
              </c:strCache>
            </c:strRef>
          </c:cat>
          <c:val>
            <c:numRef>
              <c:f>Sheet1!$J$29:$M$29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350</c:v>
                </c:pt>
                <c:pt idx="3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DB-6242-92A3-F01C273DF4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2059952"/>
        <c:axId val="342108288"/>
      </c:lineChart>
      <c:catAx>
        <c:axId val="34202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342072304"/>
        <c:crosses val="autoZero"/>
        <c:auto val="1"/>
        <c:lblAlgn val="ctr"/>
        <c:lblOffset val="100"/>
        <c:noMultiLvlLbl val="0"/>
      </c:catAx>
      <c:valAx>
        <c:axId val="342072304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S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13637175954084596"/>
              <c:y val="1.264996481195174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342020000"/>
        <c:crosses val="autoZero"/>
        <c:crossBetween val="between"/>
        <c:majorUnit val="600"/>
      </c:valAx>
      <c:valAx>
        <c:axId val="342108288"/>
        <c:scaling>
          <c:orientation val="minMax"/>
          <c:max val="600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>
                    <a:solidFill>
                      <a:schemeClr val="tx1"/>
                    </a:solidFill>
                    <a:latin typeface="High Tower Text" panose="02040502050506030303" pitchFamily="18" charset="0"/>
                  </a:rPr>
                  <a:t>K</a:t>
                </a:r>
                <a:endParaRPr lang="zh-CN" altLang="en-US" sz="2000">
                  <a:solidFill>
                    <a:schemeClr val="tx1"/>
                  </a:solidFill>
                  <a:latin typeface="High Tower Text" panose="02040502050506030303" pitchFamily="18" charset="0"/>
                </a:endParaRPr>
              </a:p>
            </c:rich>
          </c:tx>
          <c:layout>
            <c:manualLayout>
              <c:xMode val="edge"/>
              <c:yMode val="edge"/>
              <c:x val="0.80409534569371788"/>
              <c:y val="1.734170457924882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High Tower Text" panose="02040502050506030303" pitchFamily="18" charset="0"/>
                <a:ea typeface="+mn-ea"/>
                <a:cs typeface="+mn-cs"/>
              </a:defRPr>
            </a:pPr>
            <a:endParaRPr lang="zh-CN"/>
          </a:p>
        </c:txPr>
        <c:crossAx val="342059952"/>
        <c:crosses val="max"/>
        <c:crossBetween val="between"/>
        <c:majorUnit val="200"/>
      </c:valAx>
      <c:catAx>
        <c:axId val="342059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2108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217330667257766"/>
          <c:y val="0.13348369066288371"/>
          <c:w val="0.29807967393496954"/>
          <c:h val="0.204735332310016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High Tower Text" panose="02040502050506030303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770008</xdr:colOff>
      <xdr:row>1</xdr:row>
      <xdr:rowOff>90355</xdr:rowOff>
    </xdr:from>
    <xdr:to>
      <xdr:col>18</xdr:col>
      <xdr:colOff>478123</xdr:colOff>
      <xdr:row>14</xdr:row>
      <xdr:rowOff>165273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F35177E-1458-CFC0-8797-7E8A16297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755650</xdr:colOff>
      <xdr:row>15</xdr:row>
      <xdr:rowOff>1</xdr:rowOff>
    </xdr:from>
    <xdr:to>
      <xdr:col>18</xdr:col>
      <xdr:colOff>457200</xdr:colOff>
      <xdr:row>28</xdr:row>
      <xdr:rowOff>69851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0051320-0D60-2323-C9A1-98B6EB800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747182</xdr:colOff>
      <xdr:row>28</xdr:row>
      <xdr:rowOff>112183</xdr:rowOff>
    </xdr:from>
    <xdr:to>
      <xdr:col>18</xdr:col>
      <xdr:colOff>461432</xdr:colOff>
      <xdr:row>41</xdr:row>
      <xdr:rowOff>182033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AB57C01-5E09-330A-2DA1-369DCC3C3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740585</xdr:colOff>
      <xdr:row>42</xdr:row>
      <xdr:rowOff>62505</xdr:rowOff>
    </xdr:from>
    <xdr:to>
      <xdr:col>18</xdr:col>
      <xdr:colOff>478116</xdr:colOff>
      <xdr:row>55</xdr:row>
      <xdr:rowOff>166344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1F6147A-06D6-5BA6-3663-832E8E041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751303</xdr:colOff>
      <xdr:row>56</xdr:row>
      <xdr:rowOff>16127</xdr:rowOff>
    </xdr:from>
    <xdr:to>
      <xdr:col>18</xdr:col>
      <xdr:colOff>497303</xdr:colOff>
      <xdr:row>69</xdr:row>
      <xdr:rowOff>117728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FF6E07F-7A5B-F3C6-F3E4-5CC262269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174565</xdr:colOff>
      <xdr:row>1</xdr:row>
      <xdr:rowOff>108857</xdr:rowOff>
    </xdr:from>
    <xdr:to>
      <xdr:col>24</xdr:col>
      <xdr:colOff>717252</xdr:colOff>
      <xdr:row>14</xdr:row>
      <xdr:rowOff>183775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EB7EDB3-3246-C244-9B35-ACA1EEC3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160207</xdr:colOff>
      <xdr:row>15</xdr:row>
      <xdr:rowOff>18503</xdr:rowOff>
    </xdr:from>
    <xdr:to>
      <xdr:col>24</xdr:col>
      <xdr:colOff>696329</xdr:colOff>
      <xdr:row>28</xdr:row>
      <xdr:rowOff>88353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32840E6-7DB2-B94A-8B3B-F6DA569E2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151739</xdr:colOff>
      <xdr:row>28</xdr:row>
      <xdr:rowOff>130685</xdr:rowOff>
    </xdr:from>
    <xdr:to>
      <xdr:col>24</xdr:col>
      <xdr:colOff>700561</xdr:colOff>
      <xdr:row>41</xdr:row>
      <xdr:rowOff>200535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B1217EDE-7448-654F-9A43-BC5F52611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155860</xdr:colOff>
      <xdr:row>56</xdr:row>
      <xdr:rowOff>34629</xdr:rowOff>
    </xdr:from>
    <xdr:to>
      <xdr:col>24</xdr:col>
      <xdr:colOff>736432</xdr:colOff>
      <xdr:row>69</xdr:row>
      <xdr:rowOff>136230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F8D7C3BA-1595-0A4F-AD75-FB20EC43B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151848</xdr:colOff>
      <xdr:row>42</xdr:row>
      <xdr:rowOff>55217</xdr:rowOff>
    </xdr:from>
    <xdr:to>
      <xdr:col>24</xdr:col>
      <xdr:colOff>717640</xdr:colOff>
      <xdr:row>55</xdr:row>
      <xdr:rowOff>159056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32642EB1-E297-104D-8808-C1935176B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105833</xdr:colOff>
      <xdr:row>42</xdr:row>
      <xdr:rowOff>70556</xdr:rowOff>
    </xdr:from>
    <xdr:to>
      <xdr:col>29</xdr:col>
      <xdr:colOff>705555</xdr:colOff>
      <xdr:row>55</xdr:row>
      <xdr:rowOff>165099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4182FD04-2F9F-E1D4-17DD-70A034600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6587-824D-DA49-89A5-ED2144638DB3}">
  <dimension ref="C5:BA54"/>
  <sheetViews>
    <sheetView tabSelected="1" topLeftCell="AH1" zoomScale="134" zoomScaleNormal="50" workbookViewId="0">
      <selection activeCell="AS51" sqref="AS51"/>
    </sheetView>
  </sheetViews>
  <sheetFormatPr baseColWidth="10" defaultRowHeight="16"/>
  <cols>
    <col min="36" max="36" width="27.33203125" customWidth="1"/>
    <col min="37" max="37" width="22.1640625" customWidth="1"/>
  </cols>
  <sheetData>
    <row r="5" spans="3:53">
      <c r="D5" t="s">
        <v>5</v>
      </c>
      <c r="E5" t="s">
        <v>6</v>
      </c>
      <c r="F5" t="s">
        <v>7</v>
      </c>
      <c r="G5" t="s">
        <v>8</v>
      </c>
      <c r="J5" t="s">
        <v>12</v>
      </c>
      <c r="K5" t="s">
        <v>13</v>
      </c>
      <c r="L5" t="s">
        <v>14</v>
      </c>
      <c r="M5" t="s">
        <v>15</v>
      </c>
    </row>
    <row r="6" spans="3:53">
      <c r="C6" t="s">
        <v>0</v>
      </c>
      <c r="D6">
        <v>68</v>
      </c>
      <c r="E6">
        <v>148</v>
      </c>
      <c r="F6">
        <v>1482</v>
      </c>
      <c r="G6">
        <v>1230</v>
      </c>
      <c r="I6" s="1" t="s">
        <v>9</v>
      </c>
      <c r="J6">
        <v>68</v>
      </c>
      <c r="K6">
        <v>148</v>
      </c>
      <c r="L6">
        <v>1482</v>
      </c>
      <c r="M6">
        <v>1230</v>
      </c>
    </row>
    <row r="7" spans="3:53">
      <c r="C7" t="s">
        <v>1</v>
      </c>
      <c r="D7">
        <v>18</v>
      </c>
      <c r="E7">
        <v>42</v>
      </c>
      <c r="F7">
        <v>750</v>
      </c>
      <c r="G7">
        <v>684</v>
      </c>
      <c r="I7" s="1" t="s">
        <v>10</v>
      </c>
      <c r="J7" t="s">
        <v>11</v>
      </c>
      <c r="K7" t="s">
        <v>11</v>
      </c>
      <c r="L7">
        <v>405</v>
      </c>
      <c r="M7">
        <v>165</v>
      </c>
    </row>
    <row r="8" spans="3:53">
      <c r="C8" t="s">
        <v>2</v>
      </c>
      <c r="D8">
        <v>124</v>
      </c>
      <c r="E8">
        <v>260</v>
      </c>
      <c r="F8">
        <v>558</v>
      </c>
      <c r="G8">
        <v>1758</v>
      </c>
    </row>
    <row r="9" spans="3:53">
      <c r="C9" t="s">
        <v>3</v>
      </c>
      <c r="D9">
        <v>95</v>
      </c>
      <c r="E9">
        <v>205</v>
      </c>
      <c r="F9">
        <v>1680</v>
      </c>
      <c r="G9">
        <v>1392</v>
      </c>
      <c r="J9" t="s">
        <v>12</v>
      </c>
      <c r="K9" t="s">
        <v>13</v>
      </c>
      <c r="L9" t="s">
        <v>14</v>
      </c>
      <c r="M9" t="s">
        <v>15</v>
      </c>
    </row>
    <row r="10" spans="3:53">
      <c r="C10" t="s">
        <v>4</v>
      </c>
      <c r="D10">
        <v>105</v>
      </c>
      <c r="E10">
        <v>225</v>
      </c>
      <c r="F10">
        <v>2652</v>
      </c>
      <c r="G10">
        <v>1512</v>
      </c>
      <c r="I10" s="1" t="s">
        <v>9</v>
      </c>
      <c r="J10">
        <v>18</v>
      </c>
      <c r="K10">
        <v>42</v>
      </c>
      <c r="L10">
        <v>750</v>
      </c>
      <c r="M10">
        <v>684</v>
      </c>
    </row>
    <row r="11" spans="3:53">
      <c r="I11" s="1" t="s">
        <v>10</v>
      </c>
      <c r="J11">
        <v>0</v>
      </c>
      <c r="K11">
        <v>0</v>
      </c>
      <c r="L11">
        <v>168</v>
      </c>
      <c r="M11">
        <v>75</v>
      </c>
    </row>
    <row r="12" spans="3:53">
      <c r="AJ12" t="s">
        <v>16</v>
      </c>
      <c r="AK12" t="s">
        <v>37</v>
      </c>
      <c r="AL12" t="s">
        <v>17</v>
      </c>
      <c r="AP12" t="s">
        <v>18</v>
      </c>
      <c r="AT12" t="s">
        <v>19</v>
      </c>
      <c r="AX12" t="s">
        <v>8</v>
      </c>
    </row>
    <row r="13" spans="3:53">
      <c r="AL13" t="s">
        <v>38</v>
      </c>
      <c r="AM13" t="s">
        <v>39</v>
      </c>
      <c r="AN13" t="s">
        <v>20</v>
      </c>
      <c r="AO13" t="s">
        <v>21</v>
      </c>
      <c r="AP13" t="s">
        <v>38</v>
      </c>
      <c r="AQ13" t="s">
        <v>39</v>
      </c>
      <c r="AR13" t="s">
        <v>20</v>
      </c>
      <c r="AS13" t="s">
        <v>21</v>
      </c>
      <c r="AT13" t="s">
        <v>38</v>
      </c>
      <c r="AU13" t="s">
        <v>39</v>
      </c>
      <c r="AV13" t="s">
        <v>20</v>
      </c>
      <c r="AW13" t="s">
        <v>21</v>
      </c>
      <c r="AX13" t="s">
        <v>38</v>
      </c>
      <c r="AY13" t="s">
        <v>39</v>
      </c>
      <c r="AZ13" t="s">
        <v>20</v>
      </c>
      <c r="BA13" t="s">
        <v>21</v>
      </c>
    </row>
    <row r="14" spans="3:53">
      <c r="J14" t="s">
        <v>12</v>
      </c>
      <c r="K14" t="s">
        <v>13</v>
      </c>
      <c r="L14" t="s">
        <v>14</v>
      </c>
      <c r="M14" t="s">
        <v>15</v>
      </c>
      <c r="AJ14" t="s">
        <v>23</v>
      </c>
      <c r="AK14">
        <v>26</v>
      </c>
      <c r="AL14">
        <v>18</v>
      </c>
      <c r="AM14">
        <v>110</v>
      </c>
      <c r="AN14">
        <f t="shared" ref="AN14:AN27" si="0">AL14/AK14</f>
        <v>0.69230769230769229</v>
      </c>
      <c r="AO14">
        <f t="shared" ref="AO14:AO27" si="1">IF((AL14+AM14)=0, 0, AL14/(AL14+AM14))</f>
        <v>0.140625</v>
      </c>
      <c r="AP14">
        <v>18</v>
      </c>
      <c r="AQ14">
        <v>60</v>
      </c>
      <c r="AR14">
        <f t="shared" ref="AR14:AR27" si="2">AP14/AK14</f>
        <v>0.69230769230769229</v>
      </c>
      <c r="AS14">
        <f t="shared" ref="AS14:AS27" si="3">IF((AP14+AQ14)=0, 0, AP14/(AP14+AQ14))</f>
        <v>0.23076923076923078</v>
      </c>
      <c r="AT14">
        <v>10</v>
      </c>
      <c r="AU14">
        <v>142</v>
      </c>
      <c r="AV14">
        <f t="shared" ref="AV14:AV27" si="4">AT14/AK14</f>
        <v>0.38461538461538464</v>
      </c>
      <c r="AW14">
        <f t="shared" ref="AW14:AW27" si="5">IF((AT14+AU14)=0, 0, AT14/(AT14+AU14))</f>
        <v>6.5789473684210523E-2</v>
      </c>
      <c r="AX14">
        <v>24</v>
      </c>
      <c r="AY14">
        <v>14</v>
      </c>
      <c r="AZ14">
        <f t="shared" ref="AZ14:AZ27" si="6">AX14/AK14</f>
        <v>0.92307692307692313</v>
      </c>
      <c r="BA14">
        <f t="shared" ref="BA14:BA27" si="7">IF((AX14+AY14)=0, 0, AX14/(AX14+AY14))</f>
        <v>0.63157894736842102</v>
      </c>
    </row>
    <row r="15" spans="3:53">
      <c r="I15" s="1" t="s">
        <v>9</v>
      </c>
      <c r="J15">
        <v>124</v>
      </c>
      <c r="K15">
        <v>260</v>
      </c>
      <c r="L15">
        <v>558</v>
      </c>
      <c r="M15">
        <v>1758</v>
      </c>
      <c r="AJ15" t="s">
        <v>24</v>
      </c>
      <c r="AK15">
        <v>50</v>
      </c>
      <c r="AL15">
        <v>36</v>
      </c>
      <c r="AM15">
        <v>189</v>
      </c>
      <c r="AN15">
        <f t="shared" si="0"/>
        <v>0.72</v>
      </c>
      <c r="AO15">
        <f t="shared" si="1"/>
        <v>0.16</v>
      </c>
      <c r="AP15">
        <v>29</v>
      </c>
      <c r="AQ15">
        <v>103</v>
      </c>
      <c r="AR15">
        <f t="shared" si="2"/>
        <v>0.57999999999999996</v>
      </c>
      <c r="AS15">
        <f t="shared" si="3"/>
        <v>0.2196969696969697</v>
      </c>
      <c r="AT15">
        <v>21</v>
      </c>
      <c r="AU15">
        <v>127</v>
      </c>
      <c r="AV15">
        <f t="shared" si="4"/>
        <v>0.42</v>
      </c>
      <c r="AW15">
        <f t="shared" si="5"/>
        <v>0.14189189189189189</v>
      </c>
      <c r="AX15">
        <v>45</v>
      </c>
      <c r="AY15">
        <v>30</v>
      </c>
      <c r="AZ15">
        <f t="shared" si="6"/>
        <v>0.9</v>
      </c>
      <c r="BA15">
        <f t="shared" si="7"/>
        <v>0.6</v>
      </c>
    </row>
    <row r="16" spans="3:53">
      <c r="I16" s="1" t="s">
        <v>10</v>
      </c>
      <c r="J16">
        <v>0</v>
      </c>
      <c r="K16">
        <v>0</v>
      </c>
      <c r="L16">
        <v>58</v>
      </c>
      <c r="M16">
        <v>217</v>
      </c>
      <c r="AJ16" t="s">
        <v>25</v>
      </c>
      <c r="AK16">
        <v>35</v>
      </c>
      <c r="AL16">
        <v>23</v>
      </c>
      <c r="AM16">
        <v>234</v>
      </c>
      <c r="AN16">
        <f t="shared" si="0"/>
        <v>0.65714285714285714</v>
      </c>
      <c r="AO16">
        <f t="shared" si="1"/>
        <v>8.9494163424124515E-2</v>
      </c>
      <c r="AP16">
        <v>22</v>
      </c>
      <c r="AQ16">
        <v>88</v>
      </c>
      <c r="AR16">
        <f t="shared" si="2"/>
        <v>0.62857142857142856</v>
      </c>
      <c r="AS16">
        <f t="shared" si="3"/>
        <v>0.2</v>
      </c>
      <c r="AT16">
        <v>14</v>
      </c>
      <c r="AU16">
        <v>131</v>
      </c>
      <c r="AV16">
        <f t="shared" si="4"/>
        <v>0.4</v>
      </c>
      <c r="AW16">
        <f t="shared" si="5"/>
        <v>9.6551724137931033E-2</v>
      </c>
      <c r="AX16">
        <v>31</v>
      </c>
      <c r="AY16">
        <v>23</v>
      </c>
      <c r="AZ16">
        <f t="shared" si="6"/>
        <v>0.88571428571428568</v>
      </c>
      <c r="BA16">
        <f t="shared" si="7"/>
        <v>0.57407407407407407</v>
      </c>
    </row>
    <row r="17" spans="9:53">
      <c r="AJ17" t="s">
        <v>26</v>
      </c>
      <c r="AK17">
        <v>17</v>
      </c>
      <c r="AL17">
        <v>15</v>
      </c>
      <c r="AM17">
        <v>68</v>
      </c>
      <c r="AN17">
        <f t="shared" si="0"/>
        <v>0.88235294117647056</v>
      </c>
      <c r="AO17">
        <f t="shared" si="1"/>
        <v>0.18072289156626506</v>
      </c>
      <c r="AP17">
        <v>14</v>
      </c>
      <c r="AQ17">
        <v>32</v>
      </c>
      <c r="AR17">
        <f t="shared" si="2"/>
        <v>0.82352941176470584</v>
      </c>
      <c r="AS17">
        <f t="shared" si="3"/>
        <v>0.30434782608695654</v>
      </c>
      <c r="AT17">
        <v>11</v>
      </c>
      <c r="AU17">
        <v>57</v>
      </c>
      <c r="AV17">
        <f t="shared" si="4"/>
        <v>0.6470588235294118</v>
      </c>
      <c r="AW17">
        <f t="shared" si="5"/>
        <v>0.16176470588235295</v>
      </c>
      <c r="AX17">
        <v>17</v>
      </c>
      <c r="AY17">
        <v>6</v>
      </c>
      <c r="AZ17">
        <f t="shared" si="6"/>
        <v>1</v>
      </c>
      <c r="BA17">
        <f t="shared" si="7"/>
        <v>0.73913043478260865</v>
      </c>
    </row>
    <row r="18" spans="9:53">
      <c r="J18" t="s">
        <v>12</v>
      </c>
      <c r="K18" t="s">
        <v>13</v>
      </c>
      <c r="L18" t="s">
        <v>14</v>
      </c>
      <c r="M18" t="s">
        <v>15</v>
      </c>
      <c r="AJ18" t="s">
        <v>27</v>
      </c>
      <c r="AK18">
        <v>23</v>
      </c>
      <c r="AL18">
        <v>16</v>
      </c>
      <c r="AM18">
        <v>118</v>
      </c>
      <c r="AN18">
        <f t="shared" si="0"/>
        <v>0.69565217391304346</v>
      </c>
      <c r="AO18">
        <f t="shared" si="1"/>
        <v>0.11940298507462686</v>
      </c>
      <c r="AP18">
        <v>17</v>
      </c>
      <c r="AQ18">
        <v>68</v>
      </c>
      <c r="AR18">
        <f t="shared" si="2"/>
        <v>0.73913043478260865</v>
      </c>
      <c r="AS18">
        <f t="shared" si="3"/>
        <v>0.2</v>
      </c>
      <c r="AT18">
        <v>13</v>
      </c>
      <c r="AU18">
        <v>62</v>
      </c>
      <c r="AV18">
        <f t="shared" si="4"/>
        <v>0.56521739130434778</v>
      </c>
      <c r="AW18">
        <f t="shared" si="5"/>
        <v>0.17333333333333334</v>
      </c>
      <c r="AX18">
        <v>22</v>
      </c>
      <c r="AY18">
        <v>10</v>
      </c>
      <c r="AZ18">
        <f t="shared" si="6"/>
        <v>0.95652173913043481</v>
      </c>
      <c r="BA18">
        <f t="shared" si="7"/>
        <v>0.6875</v>
      </c>
    </row>
    <row r="19" spans="9:53">
      <c r="I19" s="1" t="s">
        <v>9</v>
      </c>
      <c r="J19">
        <v>95</v>
      </c>
      <c r="K19">
        <v>205</v>
      </c>
      <c r="L19">
        <v>1680</v>
      </c>
      <c r="M19">
        <v>1392</v>
      </c>
      <c r="AJ19" t="s">
        <v>28</v>
      </c>
      <c r="AK19">
        <v>27</v>
      </c>
      <c r="AL19">
        <v>20</v>
      </c>
      <c r="AM19">
        <v>147</v>
      </c>
      <c r="AN19">
        <f t="shared" si="0"/>
        <v>0.7407407407407407</v>
      </c>
      <c r="AO19">
        <f t="shared" si="1"/>
        <v>0.11976047904191617</v>
      </c>
      <c r="AP19">
        <v>19</v>
      </c>
      <c r="AQ19">
        <v>23</v>
      </c>
      <c r="AR19">
        <f t="shared" si="2"/>
        <v>0.70370370370370372</v>
      </c>
      <c r="AS19">
        <f t="shared" si="3"/>
        <v>0.45238095238095238</v>
      </c>
      <c r="AT19">
        <v>15</v>
      </c>
      <c r="AU19">
        <v>57</v>
      </c>
      <c r="AV19">
        <f t="shared" si="4"/>
        <v>0.55555555555555558</v>
      </c>
      <c r="AW19">
        <f t="shared" si="5"/>
        <v>0.20833333333333334</v>
      </c>
      <c r="AX19">
        <v>25</v>
      </c>
      <c r="AY19">
        <v>8</v>
      </c>
      <c r="AZ19">
        <f t="shared" si="6"/>
        <v>0.92592592592592593</v>
      </c>
      <c r="BA19">
        <f t="shared" si="7"/>
        <v>0.75757575757575757</v>
      </c>
    </row>
    <row r="20" spans="9:53">
      <c r="I20" s="1" t="s">
        <v>10</v>
      </c>
      <c r="J20">
        <v>0</v>
      </c>
      <c r="K20">
        <v>0</v>
      </c>
      <c r="L20">
        <v>425</v>
      </c>
      <c r="M20">
        <v>178</v>
      </c>
      <c r="AJ20" t="s">
        <v>29</v>
      </c>
      <c r="AK20">
        <v>15</v>
      </c>
      <c r="AL20">
        <v>11</v>
      </c>
      <c r="AM20">
        <v>99</v>
      </c>
      <c r="AN20">
        <f t="shared" si="0"/>
        <v>0.73333333333333328</v>
      </c>
      <c r="AO20">
        <f t="shared" si="1"/>
        <v>0.1</v>
      </c>
      <c r="AP20">
        <v>9</v>
      </c>
      <c r="AQ20">
        <v>47</v>
      </c>
      <c r="AR20">
        <f t="shared" si="2"/>
        <v>0.6</v>
      </c>
      <c r="AS20">
        <f t="shared" si="3"/>
        <v>0.16071428571428573</v>
      </c>
      <c r="AT20">
        <v>2</v>
      </c>
      <c r="AU20">
        <v>5</v>
      </c>
      <c r="AV20">
        <f t="shared" si="4"/>
        <v>0.13333333333333333</v>
      </c>
      <c r="AW20">
        <f t="shared" si="5"/>
        <v>0.2857142857142857</v>
      </c>
      <c r="AX20">
        <v>13</v>
      </c>
      <c r="AY20">
        <v>10</v>
      </c>
      <c r="AZ20">
        <f t="shared" si="6"/>
        <v>0.8666666666666667</v>
      </c>
      <c r="BA20">
        <f t="shared" si="7"/>
        <v>0.56521739130434778</v>
      </c>
    </row>
    <row r="21" spans="9:53">
      <c r="AJ21" t="s">
        <v>30</v>
      </c>
      <c r="AK21">
        <v>18</v>
      </c>
      <c r="AL21">
        <v>14</v>
      </c>
      <c r="AM21">
        <v>80</v>
      </c>
      <c r="AN21">
        <f t="shared" si="0"/>
        <v>0.77777777777777779</v>
      </c>
      <c r="AO21">
        <f t="shared" si="1"/>
        <v>0.14893617021276595</v>
      </c>
      <c r="AP21">
        <v>12</v>
      </c>
      <c r="AQ21">
        <v>43</v>
      </c>
      <c r="AR21">
        <f t="shared" si="2"/>
        <v>0.66666666666666663</v>
      </c>
      <c r="AS21">
        <f t="shared" si="3"/>
        <v>0.21818181818181817</v>
      </c>
      <c r="AT21">
        <v>4</v>
      </c>
      <c r="AU21">
        <v>6</v>
      </c>
      <c r="AV21">
        <f t="shared" si="4"/>
        <v>0.22222222222222221</v>
      </c>
      <c r="AW21">
        <f t="shared" si="5"/>
        <v>0.4</v>
      </c>
      <c r="AX21">
        <v>16</v>
      </c>
      <c r="AY21">
        <v>10</v>
      </c>
      <c r="AZ21">
        <f t="shared" si="6"/>
        <v>0.88888888888888884</v>
      </c>
      <c r="BA21">
        <f t="shared" si="7"/>
        <v>0.61538461538461542</v>
      </c>
    </row>
    <row r="22" spans="9:53">
      <c r="J22" t="s">
        <v>12</v>
      </c>
      <c r="K22" t="s">
        <v>13</v>
      </c>
      <c r="L22" t="s">
        <v>14</v>
      </c>
      <c r="M22" t="s">
        <v>15</v>
      </c>
      <c r="AJ22" t="s">
        <v>31</v>
      </c>
      <c r="AK22">
        <v>13</v>
      </c>
      <c r="AL22">
        <v>10</v>
      </c>
      <c r="AM22">
        <v>73</v>
      </c>
      <c r="AN22">
        <f t="shared" si="0"/>
        <v>0.76923076923076927</v>
      </c>
      <c r="AO22">
        <f t="shared" si="1"/>
        <v>0.12048192771084337</v>
      </c>
      <c r="AP22">
        <v>8</v>
      </c>
      <c r="AQ22">
        <v>37</v>
      </c>
      <c r="AR22">
        <f t="shared" si="2"/>
        <v>0.61538461538461542</v>
      </c>
      <c r="AS22">
        <f t="shared" si="3"/>
        <v>0.17777777777777778</v>
      </c>
      <c r="AT22">
        <v>4</v>
      </c>
      <c r="AU22">
        <v>126</v>
      </c>
      <c r="AV22">
        <f t="shared" si="4"/>
        <v>0.30769230769230771</v>
      </c>
      <c r="AW22">
        <f t="shared" si="5"/>
        <v>3.0769230769230771E-2</v>
      </c>
      <c r="AX22">
        <v>12</v>
      </c>
      <c r="AY22">
        <v>8</v>
      </c>
      <c r="AZ22">
        <f t="shared" si="6"/>
        <v>0.92307692307692313</v>
      </c>
      <c r="BA22">
        <f t="shared" si="7"/>
        <v>0.6</v>
      </c>
    </row>
    <row r="23" spans="9:53">
      <c r="I23" s="1" t="s">
        <v>9</v>
      </c>
      <c r="J23">
        <v>105</v>
      </c>
      <c r="K23">
        <v>225</v>
      </c>
      <c r="L23">
        <v>2652</v>
      </c>
      <c r="M23">
        <v>1512</v>
      </c>
      <c r="AJ23" t="s">
        <v>32</v>
      </c>
      <c r="AK23">
        <v>30</v>
      </c>
      <c r="AL23">
        <v>24</v>
      </c>
      <c r="AM23">
        <v>117</v>
      </c>
      <c r="AN23">
        <f t="shared" si="0"/>
        <v>0.8</v>
      </c>
      <c r="AO23">
        <f t="shared" si="1"/>
        <v>0.1702127659574468</v>
      </c>
      <c r="AP23">
        <v>21</v>
      </c>
      <c r="AQ23">
        <v>60</v>
      </c>
      <c r="AR23">
        <f t="shared" si="2"/>
        <v>0.7</v>
      </c>
      <c r="AS23">
        <f t="shared" si="3"/>
        <v>0.25925925925925924</v>
      </c>
      <c r="AT23">
        <v>11</v>
      </c>
      <c r="AU23">
        <v>109</v>
      </c>
      <c r="AV23">
        <f t="shared" si="4"/>
        <v>0.36666666666666664</v>
      </c>
      <c r="AW23">
        <f t="shared" si="5"/>
        <v>9.166666666666666E-2</v>
      </c>
      <c r="AX23">
        <v>28</v>
      </c>
      <c r="AY23">
        <v>14</v>
      </c>
      <c r="AZ23">
        <f t="shared" si="6"/>
        <v>0.93333333333333335</v>
      </c>
      <c r="BA23">
        <f t="shared" si="7"/>
        <v>0.66666666666666663</v>
      </c>
    </row>
    <row r="24" spans="9:53">
      <c r="I24" s="1" t="s">
        <v>10</v>
      </c>
      <c r="J24">
        <v>0</v>
      </c>
      <c r="K24">
        <v>0</v>
      </c>
      <c r="L24">
        <v>555</v>
      </c>
      <c r="M24">
        <v>197</v>
      </c>
      <c r="AJ24" t="s">
        <v>33</v>
      </c>
      <c r="AK24">
        <v>17</v>
      </c>
      <c r="AL24">
        <v>12</v>
      </c>
      <c r="AM24">
        <v>38</v>
      </c>
      <c r="AN24">
        <f t="shared" si="0"/>
        <v>0.70588235294117652</v>
      </c>
      <c r="AO24">
        <f t="shared" si="1"/>
        <v>0.24</v>
      </c>
      <c r="AP24">
        <v>11</v>
      </c>
      <c r="AQ24">
        <v>44</v>
      </c>
      <c r="AR24">
        <f t="shared" si="2"/>
        <v>0.6470588235294118</v>
      </c>
      <c r="AS24">
        <f t="shared" si="3"/>
        <v>0.2</v>
      </c>
      <c r="AT24">
        <v>6</v>
      </c>
      <c r="AU24">
        <v>189</v>
      </c>
      <c r="AV24">
        <f t="shared" si="4"/>
        <v>0.35294117647058826</v>
      </c>
      <c r="AW24">
        <f t="shared" si="5"/>
        <v>3.0769230769230771E-2</v>
      </c>
      <c r="AX24">
        <v>17</v>
      </c>
      <c r="AY24">
        <v>7</v>
      </c>
      <c r="AZ24">
        <f t="shared" si="6"/>
        <v>1</v>
      </c>
      <c r="BA24">
        <f t="shared" si="7"/>
        <v>0.70833333333333337</v>
      </c>
    </row>
    <row r="25" spans="9:53">
      <c r="AJ25" t="s">
        <v>34</v>
      </c>
      <c r="AK25">
        <v>8</v>
      </c>
      <c r="AL25">
        <v>4</v>
      </c>
      <c r="AM25">
        <v>76</v>
      </c>
      <c r="AN25">
        <f t="shared" si="0"/>
        <v>0.5</v>
      </c>
      <c r="AO25">
        <f t="shared" si="1"/>
        <v>0.05</v>
      </c>
      <c r="AP25">
        <v>4</v>
      </c>
      <c r="AQ25">
        <v>27</v>
      </c>
      <c r="AR25">
        <f t="shared" si="2"/>
        <v>0.5</v>
      </c>
      <c r="AS25">
        <f t="shared" si="3"/>
        <v>0.12903225806451613</v>
      </c>
      <c r="AT25">
        <v>3</v>
      </c>
      <c r="AU25">
        <v>197</v>
      </c>
      <c r="AV25">
        <f t="shared" si="4"/>
        <v>0.375</v>
      </c>
      <c r="AW25">
        <f t="shared" si="5"/>
        <v>1.4999999999999999E-2</v>
      </c>
      <c r="AX25">
        <v>6</v>
      </c>
      <c r="AY25">
        <v>6</v>
      </c>
      <c r="AZ25">
        <f t="shared" si="6"/>
        <v>0.75</v>
      </c>
      <c r="BA25">
        <f t="shared" si="7"/>
        <v>0.5</v>
      </c>
    </row>
    <row r="26" spans="9:53">
      <c r="AJ26" t="s">
        <v>35</v>
      </c>
      <c r="AK26">
        <v>44</v>
      </c>
      <c r="AL26">
        <v>27</v>
      </c>
      <c r="AM26">
        <v>107</v>
      </c>
      <c r="AN26">
        <f t="shared" si="0"/>
        <v>0.61363636363636365</v>
      </c>
      <c r="AO26">
        <f t="shared" si="1"/>
        <v>0.20149253731343283</v>
      </c>
      <c r="AP26">
        <v>32</v>
      </c>
      <c r="AQ26">
        <v>60</v>
      </c>
      <c r="AR26">
        <f t="shared" si="2"/>
        <v>0.72727272727272729</v>
      </c>
      <c r="AS26">
        <f t="shared" si="3"/>
        <v>0.34782608695652173</v>
      </c>
      <c r="AT26">
        <v>18</v>
      </c>
      <c r="AU26">
        <v>167</v>
      </c>
      <c r="AV26">
        <f t="shared" si="4"/>
        <v>0.40909090909090912</v>
      </c>
      <c r="AW26">
        <f t="shared" si="5"/>
        <v>9.7297297297297303E-2</v>
      </c>
      <c r="AX26">
        <v>42</v>
      </c>
      <c r="AY26">
        <v>20</v>
      </c>
      <c r="AZ26">
        <f t="shared" si="6"/>
        <v>0.95454545454545459</v>
      </c>
      <c r="BA26">
        <f t="shared" si="7"/>
        <v>0.67741935483870963</v>
      </c>
    </row>
    <row r="27" spans="9:53">
      <c r="J27" t="s">
        <v>12</v>
      </c>
      <c r="K27" t="s">
        <v>13</v>
      </c>
      <c r="L27" t="s">
        <v>14</v>
      </c>
      <c r="M27" t="s">
        <v>15</v>
      </c>
      <c r="AJ27" t="s">
        <v>36</v>
      </c>
      <c r="AK27">
        <v>21</v>
      </c>
      <c r="AL27">
        <v>16</v>
      </c>
      <c r="AM27">
        <v>98</v>
      </c>
      <c r="AN27">
        <f t="shared" si="0"/>
        <v>0.76190476190476186</v>
      </c>
      <c r="AO27">
        <f t="shared" si="1"/>
        <v>0.14035087719298245</v>
      </c>
      <c r="AP27">
        <v>12</v>
      </c>
      <c r="AQ27">
        <v>30</v>
      </c>
      <c r="AR27">
        <f t="shared" si="2"/>
        <v>0.5714285714285714</v>
      </c>
      <c r="AS27">
        <f t="shared" si="3"/>
        <v>0.2857142857142857</v>
      </c>
      <c r="AT27">
        <v>8</v>
      </c>
      <c r="AU27">
        <v>172</v>
      </c>
      <c r="AV27">
        <f t="shared" si="4"/>
        <v>0.38095238095238093</v>
      </c>
      <c r="AW27">
        <f t="shared" si="5"/>
        <v>4.4444444444444446E-2</v>
      </c>
      <c r="AX27">
        <v>19</v>
      </c>
      <c r="AY27">
        <v>11</v>
      </c>
      <c r="AZ27">
        <f t="shared" si="6"/>
        <v>0.90476190476190477</v>
      </c>
      <c r="BA27">
        <f t="shared" si="7"/>
        <v>0.6333333333333333</v>
      </c>
    </row>
    <row r="28" spans="9:53">
      <c r="I28" s="1" t="s">
        <v>9</v>
      </c>
      <c r="J28">
        <v>82</v>
      </c>
      <c r="K28">
        <v>176</v>
      </c>
      <c r="L28">
        <v>1555</v>
      </c>
      <c r="M28">
        <v>1290</v>
      </c>
    </row>
    <row r="29" spans="9:53">
      <c r="I29" s="1" t="s">
        <v>10</v>
      </c>
      <c r="J29">
        <v>0</v>
      </c>
      <c r="K29">
        <v>0</v>
      </c>
      <c r="L29">
        <v>350</v>
      </c>
      <c r="M29">
        <v>164</v>
      </c>
    </row>
    <row r="31" spans="9:53">
      <c r="AJ31" t="s">
        <v>56</v>
      </c>
      <c r="AK31" t="s">
        <v>57</v>
      </c>
      <c r="AM31" t="s">
        <v>38</v>
      </c>
      <c r="AN31" t="s">
        <v>39</v>
      </c>
      <c r="AO31" t="s">
        <v>20</v>
      </c>
      <c r="AP31" t="s">
        <v>21</v>
      </c>
      <c r="AQ31" t="s">
        <v>22</v>
      </c>
      <c r="AR31" t="s">
        <v>40</v>
      </c>
    </row>
    <row r="33" spans="36:44">
      <c r="AJ33" t="s">
        <v>41</v>
      </c>
      <c r="AK33" t="s">
        <v>42</v>
      </c>
      <c r="AM33">
        <v>10</v>
      </c>
      <c r="AN33">
        <v>61</v>
      </c>
      <c r="AO33">
        <v>0.45</v>
      </c>
      <c r="AP33">
        <v>0.15</v>
      </c>
      <c r="AQ33">
        <v>95</v>
      </c>
      <c r="AR33" t="s">
        <v>43</v>
      </c>
    </row>
    <row r="34" spans="36:44">
      <c r="AJ34" t="s">
        <v>44</v>
      </c>
      <c r="AK34" t="s">
        <v>42</v>
      </c>
      <c r="AM34">
        <v>18</v>
      </c>
      <c r="AN34">
        <v>32</v>
      </c>
      <c r="AO34">
        <v>0.76</v>
      </c>
      <c r="AP34">
        <v>0.36</v>
      </c>
      <c r="AQ34">
        <v>62</v>
      </c>
      <c r="AR34" t="s">
        <v>45</v>
      </c>
    </row>
    <row r="35" spans="36:44">
      <c r="AJ35" t="s">
        <v>46</v>
      </c>
      <c r="AK35" t="s">
        <v>42</v>
      </c>
      <c r="AM35">
        <v>20</v>
      </c>
      <c r="AN35">
        <v>18</v>
      </c>
      <c r="AO35">
        <v>0.87</v>
      </c>
      <c r="AP35">
        <v>0.53</v>
      </c>
      <c r="AQ35">
        <v>46</v>
      </c>
      <c r="AR35" t="s">
        <v>47</v>
      </c>
    </row>
    <row r="37" spans="36:44">
      <c r="AJ37" t="s">
        <v>48</v>
      </c>
      <c r="AK37" t="s">
        <v>49</v>
      </c>
      <c r="AM37">
        <v>18</v>
      </c>
      <c r="AN37">
        <v>37</v>
      </c>
      <c r="AO37">
        <v>0.76</v>
      </c>
      <c r="AP37">
        <v>0.33</v>
      </c>
      <c r="AQ37">
        <v>65</v>
      </c>
      <c r="AR37" t="s">
        <v>47</v>
      </c>
    </row>
    <row r="38" spans="36:44">
      <c r="AJ38" t="s">
        <v>48</v>
      </c>
      <c r="AK38" t="s">
        <v>50</v>
      </c>
      <c r="AM38">
        <v>21</v>
      </c>
      <c r="AN38">
        <v>13</v>
      </c>
      <c r="AO38">
        <v>0.91</v>
      </c>
      <c r="AP38">
        <v>0.62</v>
      </c>
      <c r="AQ38">
        <v>37</v>
      </c>
      <c r="AR38" t="s">
        <v>51</v>
      </c>
    </row>
    <row r="39" spans="36:44">
      <c r="AJ39" t="s">
        <v>48</v>
      </c>
      <c r="AK39" t="s">
        <v>52</v>
      </c>
      <c r="AM39">
        <v>20</v>
      </c>
      <c r="AN39">
        <v>22</v>
      </c>
      <c r="AO39">
        <v>0.85</v>
      </c>
      <c r="AP39">
        <v>0.48</v>
      </c>
      <c r="AQ39">
        <v>50</v>
      </c>
      <c r="AR39" t="s">
        <v>53</v>
      </c>
    </row>
    <row r="40" spans="36:44">
      <c r="AJ40" t="s">
        <v>48</v>
      </c>
      <c r="AK40" t="s">
        <v>46</v>
      </c>
      <c r="AM40">
        <v>21</v>
      </c>
      <c r="AN40">
        <v>17</v>
      </c>
      <c r="AO40">
        <v>0.88</v>
      </c>
      <c r="AP40">
        <v>0.55000000000000004</v>
      </c>
      <c r="AQ40">
        <v>42</v>
      </c>
      <c r="AR40" t="s">
        <v>54</v>
      </c>
    </row>
    <row r="41" spans="36:44">
      <c r="AJ41" t="s">
        <v>48</v>
      </c>
      <c r="AK41" t="s">
        <v>42</v>
      </c>
      <c r="AM41">
        <v>22</v>
      </c>
      <c r="AN41">
        <v>12</v>
      </c>
      <c r="AO41">
        <v>0.92</v>
      </c>
      <c r="AP41">
        <v>0.64</v>
      </c>
      <c r="AQ41">
        <v>35</v>
      </c>
      <c r="AR41" t="s">
        <v>55</v>
      </c>
    </row>
    <row r="44" spans="36:44">
      <c r="AK44" t="s">
        <v>38</v>
      </c>
      <c r="AL44" t="s">
        <v>39</v>
      </c>
      <c r="AM44" t="s">
        <v>20</v>
      </c>
      <c r="AN44" t="s">
        <v>21</v>
      </c>
      <c r="AO44" t="s">
        <v>22</v>
      </c>
      <c r="AP44" t="s">
        <v>40</v>
      </c>
    </row>
    <row r="45" spans="36:44">
      <c r="AJ45" t="s">
        <v>8</v>
      </c>
      <c r="AK45">
        <v>22</v>
      </c>
      <c r="AL45">
        <v>13</v>
      </c>
      <c r="AM45">
        <v>0.92</v>
      </c>
      <c r="AN45">
        <v>0.63</v>
      </c>
      <c r="AO45">
        <v>35</v>
      </c>
      <c r="AP45" t="s">
        <v>55</v>
      </c>
    </row>
    <row r="47" spans="36:44">
      <c r="AJ47" t="s">
        <v>58</v>
      </c>
      <c r="AK47">
        <v>21</v>
      </c>
      <c r="AL47">
        <v>20</v>
      </c>
      <c r="AM47">
        <v>0.88</v>
      </c>
      <c r="AN47">
        <v>0.51</v>
      </c>
      <c r="AO47">
        <v>41</v>
      </c>
      <c r="AP47" t="s">
        <v>59</v>
      </c>
    </row>
    <row r="48" spans="36:44">
      <c r="AJ48" t="s">
        <v>60</v>
      </c>
      <c r="AK48">
        <v>17</v>
      </c>
      <c r="AL48">
        <v>8</v>
      </c>
      <c r="AM48">
        <v>0.71</v>
      </c>
      <c r="AN48">
        <v>0.68</v>
      </c>
      <c r="AO48">
        <v>25</v>
      </c>
      <c r="AP48" t="s">
        <v>61</v>
      </c>
    </row>
    <row r="49" spans="36:42">
      <c r="AJ49" t="s">
        <v>62</v>
      </c>
      <c r="AK49">
        <v>23</v>
      </c>
      <c r="AL49">
        <v>59</v>
      </c>
      <c r="AM49">
        <v>0.96</v>
      </c>
      <c r="AN49">
        <v>0.28000000000000003</v>
      </c>
      <c r="AO49">
        <v>82</v>
      </c>
      <c r="AP49" t="s">
        <v>63</v>
      </c>
    </row>
    <row r="50" spans="36:42">
      <c r="AJ50" t="s">
        <v>64</v>
      </c>
      <c r="AK50">
        <v>20</v>
      </c>
      <c r="AL50">
        <v>22</v>
      </c>
      <c r="AM50">
        <v>0.83</v>
      </c>
      <c r="AN50">
        <v>0.48</v>
      </c>
      <c r="AO50">
        <v>42</v>
      </c>
      <c r="AP50" t="s">
        <v>65</v>
      </c>
    </row>
    <row r="52" spans="36:42">
      <c r="AJ52" t="s">
        <v>66</v>
      </c>
      <c r="AK52">
        <v>17</v>
      </c>
      <c r="AL52">
        <v>18</v>
      </c>
      <c r="AM52">
        <v>0.71</v>
      </c>
      <c r="AN52">
        <v>0.49</v>
      </c>
      <c r="AO52">
        <v>35</v>
      </c>
      <c r="AP52" t="s">
        <v>67</v>
      </c>
    </row>
    <row r="53" spans="36:42">
      <c r="AJ53" t="s">
        <v>68</v>
      </c>
      <c r="AK53">
        <v>19</v>
      </c>
      <c r="AL53">
        <v>26</v>
      </c>
      <c r="AM53">
        <v>0.79</v>
      </c>
      <c r="AN53">
        <v>0.42</v>
      </c>
      <c r="AO53">
        <v>45</v>
      </c>
      <c r="AP53" t="s">
        <v>69</v>
      </c>
    </row>
    <row r="54" spans="36:42">
      <c r="AJ54" t="s">
        <v>70</v>
      </c>
      <c r="AK54">
        <v>22</v>
      </c>
      <c r="AL54">
        <v>16</v>
      </c>
      <c r="AM54">
        <v>0.92</v>
      </c>
      <c r="AN54">
        <v>0.57999999999999996</v>
      </c>
      <c r="AO54">
        <v>38</v>
      </c>
      <c r="AP54" t="s">
        <v>71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c50292</cp:lastModifiedBy>
  <dcterms:created xsi:type="dcterms:W3CDTF">2026-04-18T05:55:47Z</dcterms:created>
  <dcterms:modified xsi:type="dcterms:W3CDTF">2026-05-06T06:24:58Z</dcterms:modified>
</cp:coreProperties>
</file>